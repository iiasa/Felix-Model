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omments1.xml" ContentType="application/vnd.openxmlformats-officedocument.spreadsheetml.comments+xml"/>
  <Override PartName="/xl/drawings/drawing3.xml" ContentType="application/vnd.openxmlformats-officedocument.drawing+xml"/>
  <Override PartName="/xl/comments2.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mc:AlternateContent xmlns:mc="http://schemas.openxmlformats.org/markup-compatibility/2006">
    <mc:Choice Requires="x15">
      <x15ac:absPath xmlns:x15ac="http://schemas.microsoft.com/office/spreadsheetml/2010/11/ac" url="https://iiasahub-my.sharepoint.com/personal/yequanliang_iiasa_ac_at/Documents/research_iiasa/Felix-Model/Regionalized FeliX/Model Files/"/>
    </mc:Choice>
  </mc:AlternateContent>
  <xr:revisionPtr revIDLastSave="1240" documentId="13_ncr:1_{28C6C791-891C-49C6-B485-EBA1BBBF38AE}" xr6:coauthVersionLast="47" xr6:coauthVersionMax="47" xr10:uidLastSave="{489CE2D8-5557-4E08-90DF-EBE422DB1238}"/>
  <bookViews>
    <workbookView xWindow="-108" yWindow="-108" windowWidth="23256" windowHeight="12456" activeTab="3" xr2:uid="{00000000-000D-0000-FFFF-FFFF00000000}"/>
  </bookViews>
  <sheets>
    <sheet name="Stocks" sheetId="1" r:id="rId1"/>
    <sheet name="Population" sheetId="2" r:id="rId2"/>
    <sheet name="Education" sheetId="3" r:id="rId3"/>
    <sheet name="Diet" sheetId="5" r:id="rId4"/>
    <sheet name="ModifiedW3Lookups" sheetId="7" r:id="rId5"/>
    <sheet name="Mortality fractions parameters" sheetId="9" r:id="rId6"/>
    <sheet name="Mortality fractions" sheetId="10" r:id="rId7"/>
    <sheet name="UN mortality fractions" sheetId="8" r:id="rId8"/>
  </sheets>
  <definedNames>
    <definedName name="_xlnm._FilterDatabase" localSheetId="0" hidden="1">Stocks!$A$1:$I$1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66" i="5" l="1"/>
  <c r="L267" i="5"/>
  <c r="L268" i="5"/>
  <c r="L269" i="5"/>
  <c r="L270" i="5"/>
  <c r="L271" i="5"/>
  <c r="L272" i="5"/>
  <c r="L273" i="5"/>
  <c r="L274" i="5"/>
  <c r="L275" i="5"/>
  <c r="L276" i="5"/>
  <c r="L277" i="5"/>
  <c r="L278" i="5"/>
  <c r="L279" i="5"/>
  <c r="L280" i="5"/>
  <c r="L265" i="5"/>
  <c r="K265" i="5"/>
  <c r="K266" i="5"/>
  <c r="K267" i="5"/>
  <c r="K268" i="5"/>
  <c r="K269" i="5"/>
  <c r="K270" i="5"/>
  <c r="K271" i="5"/>
  <c r="K272" i="5"/>
  <c r="K273" i="5"/>
  <c r="K274" i="5"/>
  <c r="K275" i="5"/>
  <c r="K276" i="5"/>
  <c r="K277" i="5"/>
  <c r="K278" i="5"/>
  <c r="K279" i="5"/>
  <c r="K280" i="5"/>
  <c r="K281" i="5"/>
  <c r="K264" i="5"/>
  <c r="J264" i="5"/>
  <c r="J265" i="5"/>
  <c r="J266" i="5"/>
  <c r="J267" i="5"/>
  <c r="J268" i="5"/>
  <c r="J269" i="5"/>
  <c r="J270" i="5"/>
  <c r="J271" i="5"/>
  <c r="J272" i="5"/>
  <c r="J273" i="5"/>
  <c r="J274" i="5"/>
  <c r="J275" i="5"/>
  <c r="J276" i="5"/>
  <c r="J277" i="5"/>
  <c r="J278" i="5"/>
  <c r="J279" i="5"/>
  <c r="J280" i="5"/>
  <c r="J281" i="5"/>
  <c r="J263" i="5"/>
  <c r="I262" i="5"/>
  <c r="I263" i="5"/>
  <c r="I264" i="5"/>
  <c r="I265" i="5"/>
  <c r="I266" i="5"/>
  <c r="I267" i="5"/>
  <c r="I268" i="5"/>
  <c r="I269" i="5"/>
  <c r="I270" i="5"/>
  <c r="I271" i="5"/>
  <c r="I272" i="5"/>
  <c r="I273" i="5"/>
  <c r="I274" i="5"/>
  <c r="I275" i="5"/>
  <c r="I276" i="5"/>
  <c r="I277" i="5"/>
  <c r="I278" i="5"/>
  <c r="I279" i="5"/>
  <c r="I280" i="5"/>
  <c r="I281" i="5"/>
  <c r="I261" i="5"/>
  <c r="F281" i="5"/>
  <c r="F266" i="5"/>
  <c r="F267" i="5"/>
  <c r="F268" i="5"/>
  <c r="F269" i="5"/>
  <c r="F270" i="5"/>
  <c r="F271" i="5"/>
  <c r="F272" i="5"/>
  <c r="F273" i="5"/>
  <c r="F274" i="5"/>
  <c r="F275" i="5"/>
  <c r="F276" i="5"/>
  <c r="F277" i="5"/>
  <c r="F278" i="5"/>
  <c r="F279" i="5"/>
  <c r="F280" i="5"/>
  <c r="F265" i="5"/>
  <c r="E265" i="5"/>
  <c r="E266" i="5"/>
  <c r="E267" i="5"/>
  <c r="E268" i="5"/>
  <c r="E269" i="5"/>
  <c r="E270" i="5"/>
  <c r="E271" i="5"/>
  <c r="E272" i="5"/>
  <c r="E273" i="5"/>
  <c r="E274" i="5"/>
  <c r="E275" i="5"/>
  <c r="E276" i="5"/>
  <c r="E277" i="5"/>
  <c r="E278" i="5"/>
  <c r="E279" i="5"/>
  <c r="E280" i="5"/>
  <c r="E281" i="5"/>
  <c r="E264" i="5"/>
  <c r="D264" i="5"/>
  <c r="D265" i="5"/>
  <c r="D266" i="5"/>
  <c r="D267" i="5"/>
  <c r="D268" i="5"/>
  <c r="D269" i="5"/>
  <c r="D270" i="5"/>
  <c r="D271" i="5"/>
  <c r="D272" i="5"/>
  <c r="D273" i="5"/>
  <c r="D274" i="5"/>
  <c r="D275" i="5"/>
  <c r="D276" i="5"/>
  <c r="D277" i="5"/>
  <c r="D278" i="5"/>
  <c r="D279" i="5"/>
  <c r="D280" i="5"/>
  <c r="D281" i="5"/>
  <c r="D263" i="5"/>
  <c r="C262" i="5"/>
  <c r="C263" i="5"/>
  <c r="C264" i="5"/>
  <c r="C265" i="5"/>
  <c r="C266" i="5"/>
  <c r="C267" i="5"/>
  <c r="C268" i="5"/>
  <c r="C269" i="5"/>
  <c r="C270" i="5"/>
  <c r="C271" i="5"/>
  <c r="C272" i="5"/>
  <c r="C273" i="5"/>
  <c r="C274" i="5"/>
  <c r="C275" i="5"/>
  <c r="C276" i="5"/>
  <c r="C277" i="5"/>
  <c r="C278" i="5"/>
  <c r="C279" i="5"/>
  <c r="C280" i="5"/>
  <c r="C281" i="5"/>
  <c r="C261" i="5"/>
  <c r="L243" i="5"/>
  <c r="L244" i="5"/>
  <c r="L245" i="5"/>
  <c r="L246" i="5"/>
  <c r="L247" i="5"/>
  <c r="L248" i="5"/>
  <c r="L249" i="5"/>
  <c r="L250" i="5"/>
  <c r="L251" i="5"/>
  <c r="L252" i="5"/>
  <c r="L253" i="5"/>
  <c r="L254" i="5"/>
  <c r="L255" i="5"/>
  <c r="L256" i="5"/>
  <c r="L257" i="5"/>
  <c r="L242" i="5"/>
  <c r="K242" i="5"/>
  <c r="K243" i="5"/>
  <c r="K244" i="5"/>
  <c r="K245" i="5"/>
  <c r="K246" i="5"/>
  <c r="K247" i="5"/>
  <c r="K248" i="5"/>
  <c r="K249" i="5"/>
  <c r="K250" i="5"/>
  <c r="K251" i="5"/>
  <c r="K252" i="5"/>
  <c r="K253" i="5"/>
  <c r="K254" i="5"/>
  <c r="K255" i="5"/>
  <c r="K256" i="5"/>
  <c r="K257" i="5"/>
  <c r="K258" i="5"/>
  <c r="K241" i="5"/>
  <c r="J241" i="5"/>
  <c r="J242" i="5"/>
  <c r="J243" i="5"/>
  <c r="J244" i="5"/>
  <c r="J245" i="5"/>
  <c r="J246" i="5"/>
  <c r="J247" i="5"/>
  <c r="J248" i="5"/>
  <c r="J249" i="5"/>
  <c r="J250" i="5"/>
  <c r="J251" i="5"/>
  <c r="J252" i="5"/>
  <c r="J253" i="5"/>
  <c r="J254" i="5"/>
  <c r="J255" i="5"/>
  <c r="J256" i="5"/>
  <c r="J257" i="5"/>
  <c r="J258" i="5"/>
  <c r="J240" i="5"/>
  <c r="I239" i="5"/>
  <c r="I240" i="5"/>
  <c r="I241" i="5"/>
  <c r="I242" i="5"/>
  <c r="I243" i="5"/>
  <c r="I244" i="5"/>
  <c r="I245" i="5"/>
  <c r="I246" i="5"/>
  <c r="I247" i="5"/>
  <c r="I248" i="5"/>
  <c r="I249" i="5"/>
  <c r="I250" i="5"/>
  <c r="I251" i="5"/>
  <c r="I252" i="5"/>
  <c r="I253" i="5"/>
  <c r="I254" i="5"/>
  <c r="I255" i="5"/>
  <c r="I256" i="5"/>
  <c r="I257" i="5"/>
  <c r="I258" i="5"/>
  <c r="I238" i="5"/>
  <c r="F258" i="5"/>
  <c r="F243" i="5"/>
  <c r="F244" i="5"/>
  <c r="F245" i="5"/>
  <c r="F246" i="5"/>
  <c r="F247" i="5"/>
  <c r="F248" i="5"/>
  <c r="F249" i="5"/>
  <c r="F250" i="5"/>
  <c r="F251" i="5"/>
  <c r="F252" i="5"/>
  <c r="F253" i="5"/>
  <c r="F254" i="5"/>
  <c r="F255" i="5"/>
  <c r="F256" i="5"/>
  <c r="F257" i="5"/>
  <c r="F242" i="5"/>
  <c r="E242" i="5"/>
  <c r="E243" i="5"/>
  <c r="E244" i="5"/>
  <c r="E245" i="5"/>
  <c r="E246" i="5"/>
  <c r="E247" i="5"/>
  <c r="E248" i="5"/>
  <c r="E249" i="5"/>
  <c r="E250" i="5"/>
  <c r="E251" i="5"/>
  <c r="E252" i="5"/>
  <c r="E253" i="5"/>
  <c r="E254" i="5"/>
  <c r="E255" i="5"/>
  <c r="E256" i="5"/>
  <c r="E257" i="5"/>
  <c r="E258" i="5"/>
  <c r="E241" i="5"/>
  <c r="D241" i="5"/>
  <c r="D242" i="5"/>
  <c r="D243" i="5"/>
  <c r="D244" i="5"/>
  <c r="D245" i="5"/>
  <c r="D246" i="5"/>
  <c r="D247" i="5"/>
  <c r="D248" i="5"/>
  <c r="D249" i="5"/>
  <c r="D250" i="5"/>
  <c r="D251" i="5"/>
  <c r="D252" i="5"/>
  <c r="D253" i="5"/>
  <c r="D254" i="5"/>
  <c r="D255" i="5"/>
  <c r="D256" i="5"/>
  <c r="D257" i="5"/>
  <c r="D258" i="5"/>
  <c r="D240" i="5"/>
  <c r="C239" i="5"/>
  <c r="C240" i="5"/>
  <c r="C241" i="5"/>
  <c r="C242" i="5"/>
  <c r="C243" i="5"/>
  <c r="C244" i="5"/>
  <c r="C245" i="5"/>
  <c r="C246" i="5"/>
  <c r="C247" i="5"/>
  <c r="C248" i="5"/>
  <c r="C249" i="5"/>
  <c r="C250" i="5"/>
  <c r="C251" i="5"/>
  <c r="C252" i="5"/>
  <c r="C253" i="5"/>
  <c r="C254" i="5"/>
  <c r="C255" i="5"/>
  <c r="C256" i="5"/>
  <c r="C257" i="5"/>
  <c r="C258" i="5"/>
  <c r="C238" i="5"/>
  <c r="F282" i="5"/>
  <c r="E282" i="5"/>
  <c r="F235" i="5"/>
  <c r="E235" i="5" l="1"/>
  <c r="M188" i="5"/>
  <c r="F188" i="5"/>
  <c r="E188" i="5"/>
  <c r="L149" i="5" l="1"/>
  <c r="L150" i="5"/>
  <c r="L151" i="5"/>
  <c r="L152" i="5"/>
  <c r="L153" i="5"/>
  <c r="L154" i="5"/>
  <c r="L155" i="5"/>
  <c r="L156" i="5"/>
  <c r="L157" i="5"/>
  <c r="L158" i="5"/>
  <c r="L159" i="5"/>
  <c r="L160" i="5"/>
  <c r="L161" i="5"/>
  <c r="L162" i="5"/>
  <c r="L163" i="5"/>
  <c r="L148" i="5"/>
  <c r="K148" i="5"/>
  <c r="K149" i="5"/>
  <c r="K150" i="5"/>
  <c r="K151" i="5"/>
  <c r="K152" i="5"/>
  <c r="K153" i="5"/>
  <c r="K154" i="5"/>
  <c r="K155" i="5"/>
  <c r="K156" i="5"/>
  <c r="K157" i="5"/>
  <c r="K158" i="5"/>
  <c r="K159" i="5"/>
  <c r="K160" i="5"/>
  <c r="K161" i="5"/>
  <c r="K162" i="5"/>
  <c r="K163" i="5"/>
  <c r="K164" i="5"/>
  <c r="K147" i="5"/>
  <c r="J147" i="5"/>
  <c r="J148" i="5"/>
  <c r="J149" i="5"/>
  <c r="J150" i="5"/>
  <c r="J151" i="5"/>
  <c r="J152" i="5"/>
  <c r="J153" i="5"/>
  <c r="J154" i="5"/>
  <c r="J155" i="5"/>
  <c r="J156" i="5"/>
  <c r="J157" i="5"/>
  <c r="J158" i="5"/>
  <c r="J159" i="5"/>
  <c r="J160" i="5"/>
  <c r="J161" i="5"/>
  <c r="J162" i="5"/>
  <c r="J163" i="5"/>
  <c r="J164" i="5"/>
  <c r="J146" i="5"/>
  <c r="I145" i="5"/>
  <c r="I146" i="5"/>
  <c r="I147" i="5"/>
  <c r="I148" i="5"/>
  <c r="I149" i="5"/>
  <c r="I150" i="5"/>
  <c r="I151" i="5"/>
  <c r="I152" i="5"/>
  <c r="I153" i="5"/>
  <c r="I154" i="5"/>
  <c r="I155" i="5"/>
  <c r="I156" i="5"/>
  <c r="I157" i="5"/>
  <c r="I158" i="5"/>
  <c r="I159" i="5"/>
  <c r="I160" i="5"/>
  <c r="I161" i="5"/>
  <c r="I162" i="5"/>
  <c r="I163" i="5"/>
  <c r="I164" i="5"/>
  <c r="I144" i="5"/>
  <c r="F149" i="5"/>
  <c r="F150" i="5"/>
  <c r="F151" i="5"/>
  <c r="F152" i="5"/>
  <c r="F153" i="5"/>
  <c r="F154" i="5"/>
  <c r="F155" i="5"/>
  <c r="F156" i="5"/>
  <c r="F157" i="5"/>
  <c r="F158" i="5"/>
  <c r="F159" i="5"/>
  <c r="F160" i="5"/>
  <c r="F161" i="5"/>
  <c r="F162" i="5"/>
  <c r="F163" i="5"/>
  <c r="F164" i="5"/>
  <c r="F148" i="5"/>
  <c r="E148" i="5"/>
  <c r="E149" i="5"/>
  <c r="E150" i="5"/>
  <c r="E151" i="5"/>
  <c r="E152" i="5"/>
  <c r="E153" i="5"/>
  <c r="E154" i="5"/>
  <c r="E155" i="5"/>
  <c r="E156" i="5"/>
  <c r="E157" i="5"/>
  <c r="E158" i="5"/>
  <c r="E159" i="5"/>
  <c r="E160" i="5"/>
  <c r="E161" i="5"/>
  <c r="E162" i="5"/>
  <c r="E163" i="5"/>
  <c r="E164" i="5"/>
  <c r="E147" i="5"/>
  <c r="D147" i="5"/>
  <c r="D148" i="5"/>
  <c r="D149" i="5"/>
  <c r="D150" i="5"/>
  <c r="D151" i="5"/>
  <c r="D152" i="5"/>
  <c r="D153" i="5"/>
  <c r="D154" i="5"/>
  <c r="D155" i="5"/>
  <c r="D156" i="5"/>
  <c r="D157" i="5"/>
  <c r="D158" i="5"/>
  <c r="D159" i="5"/>
  <c r="D160" i="5"/>
  <c r="D161" i="5"/>
  <c r="D162" i="5"/>
  <c r="D163" i="5"/>
  <c r="D164" i="5"/>
  <c r="D146" i="5"/>
  <c r="C145" i="5"/>
  <c r="C146" i="5"/>
  <c r="C147" i="5"/>
  <c r="C148" i="5"/>
  <c r="C149" i="5"/>
  <c r="C150" i="5"/>
  <c r="C151" i="5"/>
  <c r="C152" i="5"/>
  <c r="C153" i="5"/>
  <c r="C154" i="5"/>
  <c r="C155" i="5"/>
  <c r="C156" i="5"/>
  <c r="C157" i="5"/>
  <c r="C158" i="5"/>
  <c r="C159" i="5"/>
  <c r="C160" i="5"/>
  <c r="C161" i="5"/>
  <c r="C162" i="5"/>
  <c r="C163" i="5"/>
  <c r="C164" i="5"/>
  <c r="C144" i="5"/>
  <c r="L172" i="5"/>
  <c r="L173" i="5"/>
  <c r="L174" i="5"/>
  <c r="L175" i="5"/>
  <c r="L176" i="5"/>
  <c r="L177" i="5"/>
  <c r="L178" i="5"/>
  <c r="L179" i="5"/>
  <c r="L180" i="5"/>
  <c r="L181" i="5"/>
  <c r="L182" i="5"/>
  <c r="L183" i="5"/>
  <c r="L184" i="5"/>
  <c r="L185" i="5"/>
  <c r="L186" i="5"/>
  <c r="L171" i="5"/>
  <c r="K171" i="5"/>
  <c r="K172" i="5"/>
  <c r="K173" i="5"/>
  <c r="K174" i="5"/>
  <c r="K175" i="5"/>
  <c r="K176" i="5"/>
  <c r="K177" i="5"/>
  <c r="K178" i="5"/>
  <c r="K179" i="5"/>
  <c r="K180" i="5"/>
  <c r="K181" i="5"/>
  <c r="K182" i="5"/>
  <c r="K183" i="5"/>
  <c r="K184" i="5"/>
  <c r="K185" i="5"/>
  <c r="K186" i="5"/>
  <c r="K187" i="5"/>
  <c r="K170" i="5"/>
  <c r="J170" i="5"/>
  <c r="J171" i="5"/>
  <c r="J172" i="5"/>
  <c r="J173" i="5"/>
  <c r="J174" i="5"/>
  <c r="J175" i="5"/>
  <c r="J176" i="5"/>
  <c r="J177" i="5"/>
  <c r="J178" i="5"/>
  <c r="J179" i="5"/>
  <c r="J180" i="5"/>
  <c r="J181" i="5"/>
  <c r="J182" i="5"/>
  <c r="J183" i="5"/>
  <c r="J184" i="5"/>
  <c r="J185" i="5"/>
  <c r="J186" i="5"/>
  <c r="J187" i="5"/>
  <c r="J169" i="5"/>
  <c r="I168" i="5"/>
  <c r="I169" i="5"/>
  <c r="I170" i="5"/>
  <c r="I171" i="5"/>
  <c r="I172" i="5"/>
  <c r="I173" i="5"/>
  <c r="I174" i="5"/>
  <c r="I175" i="5"/>
  <c r="I176" i="5"/>
  <c r="I177" i="5"/>
  <c r="I178" i="5"/>
  <c r="I179" i="5"/>
  <c r="I180" i="5"/>
  <c r="I181" i="5"/>
  <c r="I182" i="5"/>
  <c r="I183" i="5"/>
  <c r="I184" i="5"/>
  <c r="I185" i="5"/>
  <c r="I186" i="5"/>
  <c r="I187" i="5"/>
  <c r="I167" i="5"/>
  <c r="F172" i="5"/>
  <c r="F173" i="5"/>
  <c r="F174" i="5"/>
  <c r="F175" i="5"/>
  <c r="F176" i="5"/>
  <c r="F177" i="5"/>
  <c r="F178" i="5"/>
  <c r="F179" i="5"/>
  <c r="F180" i="5"/>
  <c r="F181" i="5"/>
  <c r="F182" i="5"/>
  <c r="F183" i="5"/>
  <c r="F184" i="5"/>
  <c r="F185" i="5"/>
  <c r="F186" i="5"/>
  <c r="F187" i="5"/>
  <c r="F171" i="5"/>
  <c r="E186" i="5"/>
  <c r="E187" i="5"/>
  <c r="E171" i="5"/>
  <c r="E172" i="5"/>
  <c r="E173" i="5"/>
  <c r="E174" i="5"/>
  <c r="E175" i="5"/>
  <c r="E176" i="5"/>
  <c r="E177" i="5"/>
  <c r="E178" i="5"/>
  <c r="E179" i="5"/>
  <c r="E180" i="5"/>
  <c r="E181" i="5"/>
  <c r="E182" i="5"/>
  <c r="E183" i="5"/>
  <c r="E184" i="5"/>
  <c r="E185" i="5"/>
  <c r="E170" i="5"/>
  <c r="D170" i="5"/>
  <c r="D171" i="5"/>
  <c r="D172" i="5"/>
  <c r="D173" i="5"/>
  <c r="D174" i="5"/>
  <c r="D175" i="5"/>
  <c r="D176" i="5"/>
  <c r="D177" i="5"/>
  <c r="D178" i="5"/>
  <c r="D179" i="5"/>
  <c r="D180" i="5"/>
  <c r="D181" i="5"/>
  <c r="D182" i="5"/>
  <c r="D183" i="5"/>
  <c r="D184" i="5"/>
  <c r="D185" i="5"/>
  <c r="D186" i="5"/>
  <c r="D187" i="5"/>
  <c r="D169" i="5"/>
  <c r="C168" i="5"/>
  <c r="C169" i="5"/>
  <c r="C170" i="5"/>
  <c r="C171" i="5"/>
  <c r="C172" i="5"/>
  <c r="C173" i="5"/>
  <c r="C174" i="5"/>
  <c r="C175" i="5"/>
  <c r="C176" i="5"/>
  <c r="C177" i="5"/>
  <c r="C178" i="5"/>
  <c r="C179" i="5"/>
  <c r="C180" i="5"/>
  <c r="C181" i="5"/>
  <c r="C182" i="5"/>
  <c r="C183" i="5"/>
  <c r="C184" i="5"/>
  <c r="C185" i="5"/>
  <c r="C186" i="5"/>
  <c r="C187" i="5"/>
  <c r="C167" i="5"/>
  <c r="AB281" i="5" l="1"/>
  <c r="AB280" i="5"/>
  <c r="AB279" i="5"/>
  <c r="AB278" i="5"/>
  <c r="AB277" i="5"/>
  <c r="AB276" i="5"/>
  <c r="AB275" i="5"/>
  <c r="AB274" i="5"/>
  <c r="AB273" i="5"/>
  <c r="AB272" i="5"/>
  <c r="AB271" i="5"/>
  <c r="AB270" i="5"/>
  <c r="AB269" i="5"/>
  <c r="AB268" i="5"/>
  <c r="AB267" i="5"/>
  <c r="AB266" i="5"/>
  <c r="AB265" i="5"/>
  <c r="AB264" i="5"/>
  <c r="AB263" i="5"/>
  <c r="AB262" i="5"/>
  <c r="AB261" i="5"/>
  <c r="AB234" i="5"/>
  <c r="AB233" i="5"/>
  <c r="AB232" i="5"/>
  <c r="AB231" i="5"/>
  <c r="AB230" i="5"/>
  <c r="AB229" i="5"/>
  <c r="AB228" i="5"/>
  <c r="AB227" i="5"/>
  <c r="AB226" i="5"/>
  <c r="AB225" i="5"/>
  <c r="AB224" i="5"/>
  <c r="AB223" i="5"/>
  <c r="AB222" i="5"/>
  <c r="AB221" i="5"/>
  <c r="AB220" i="5"/>
  <c r="AB219" i="5"/>
  <c r="AB218" i="5"/>
  <c r="AB217" i="5"/>
  <c r="AB216" i="5"/>
  <c r="AB215" i="5"/>
  <c r="AB214" i="5"/>
  <c r="K234" i="5"/>
  <c r="J234" i="5"/>
  <c r="I234" i="5"/>
  <c r="L233" i="5"/>
  <c r="K233" i="5"/>
  <c r="J233" i="5"/>
  <c r="I233" i="5"/>
  <c r="L232" i="5"/>
  <c r="K232" i="5"/>
  <c r="J232" i="5"/>
  <c r="I232" i="5"/>
  <c r="L231" i="5"/>
  <c r="K231" i="5"/>
  <c r="J231" i="5"/>
  <c r="I231" i="5"/>
  <c r="L230" i="5"/>
  <c r="K230" i="5"/>
  <c r="J230" i="5"/>
  <c r="I230" i="5"/>
  <c r="L229" i="5"/>
  <c r="K229" i="5"/>
  <c r="J229" i="5"/>
  <c r="I229" i="5"/>
  <c r="L228" i="5"/>
  <c r="K228" i="5"/>
  <c r="J228" i="5"/>
  <c r="I228" i="5"/>
  <c r="L227" i="5"/>
  <c r="K227" i="5"/>
  <c r="J227" i="5"/>
  <c r="I227" i="5"/>
  <c r="L226" i="5"/>
  <c r="K226" i="5"/>
  <c r="J226" i="5"/>
  <c r="I226" i="5"/>
  <c r="L225" i="5"/>
  <c r="K225" i="5"/>
  <c r="J225" i="5"/>
  <c r="I225" i="5"/>
  <c r="L224" i="5"/>
  <c r="K224" i="5"/>
  <c r="J224" i="5"/>
  <c r="I224" i="5"/>
  <c r="L223" i="5"/>
  <c r="K223" i="5"/>
  <c r="J223" i="5"/>
  <c r="I223" i="5"/>
  <c r="L222" i="5"/>
  <c r="K222" i="5"/>
  <c r="J222" i="5"/>
  <c r="I222" i="5"/>
  <c r="L221" i="5"/>
  <c r="K221" i="5"/>
  <c r="J221" i="5"/>
  <c r="I221" i="5"/>
  <c r="L220" i="5"/>
  <c r="K220" i="5"/>
  <c r="J220" i="5"/>
  <c r="I220" i="5"/>
  <c r="L219" i="5"/>
  <c r="K219" i="5"/>
  <c r="J219" i="5"/>
  <c r="I219" i="5"/>
  <c r="L218" i="5"/>
  <c r="K218" i="5"/>
  <c r="J218" i="5"/>
  <c r="I218" i="5"/>
  <c r="K217" i="5"/>
  <c r="J217" i="5"/>
  <c r="I217" i="5"/>
  <c r="J216" i="5"/>
  <c r="I216" i="5"/>
  <c r="I215" i="5"/>
  <c r="I214" i="5"/>
  <c r="D216" i="5"/>
  <c r="D217" i="5"/>
  <c r="E217" i="5"/>
  <c r="D218" i="5"/>
  <c r="E218" i="5"/>
  <c r="F218" i="5"/>
  <c r="D219" i="5"/>
  <c r="E219" i="5"/>
  <c r="F219" i="5"/>
  <c r="D220" i="5"/>
  <c r="E220" i="5"/>
  <c r="F220" i="5"/>
  <c r="D221" i="5"/>
  <c r="E221" i="5"/>
  <c r="F221" i="5"/>
  <c r="D222" i="5"/>
  <c r="E222" i="5"/>
  <c r="F222" i="5"/>
  <c r="D223" i="5"/>
  <c r="E223" i="5"/>
  <c r="F223" i="5"/>
  <c r="D224" i="5"/>
  <c r="E224" i="5"/>
  <c r="F224" i="5"/>
  <c r="D225" i="5"/>
  <c r="E225" i="5"/>
  <c r="F225" i="5"/>
  <c r="D226" i="5"/>
  <c r="E226" i="5"/>
  <c r="F226" i="5"/>
  <c r="D227" i="5"/>
  <c r="E227" i="5"/>
  <c r="F227" i="5"/>
  <c r="D228" i="5"/>
  <c r="E228" i="5"/>
  <c r="F228" i="5"/>
  <c r="D229" i="5"/>
  <c r="E229" i="5"/>
  <c r="F229" i="5"/>
  <c r="D230" i="5"/>
  <c r="E230" i="5"/>
  <c r="F230" i="5"/>
  <c r="D231" i="5"/>
  <c r="E231" i="5"/>
  <c r="F231" i="5"/>
  <c r="D232" i="5"/>
  <c r="E232" i="5"/>
  <c r="F232" i="5"/>
  <c r="D233" i="5"/>
  <c r="E233" i="5"/>
  <c r="F233" i="5"/>
  <c r="D234" i="5"/>
  <c r="E234" i="5"/>
  <c r="F234" i="5"/>
  <c r="C215" i="5"/>
  <c r="C216" i="5"/>
  <c r="C217" i="5"/>
  <c r="C218" i="5"/>
  <c r="C219" i="5"/>
  <c r="C220" i="5"/>
  <c r="C221" i="5"/>
  <c r="C222" i="5"/>
  <c r="C223" i="5"/>
  <c r="C224" i="5"/>
  <c r="C225" i="5"/>
  <c r="C226" i="5"/>
  <c r="C227" i="5"/>
  <c r="C228" i="5"/>
  <c r="C229" i="5"/>
  <c r="C230" i="5"/>
  <c r="C231" i="5"/>
  <c r="C232" i="5"/>
  <c r="C233" i="5"/>
  <c r="C234" i="5"/>
  <c r="C214" i="5"/>
  <c r="K211" i="5"/>
  <c r="J211" i="5"/>
  <c r="I211" i="5"/>
  <c r="L210" i="5"/>
  <c r="K210" i="5"/>
  <c r="J210" i="5"/>
  <c r="I210" i="5"/>
  <c r="L209" i="5"/>
  <c r="K209" i="5"/>
  <c r="J209" i="5"/>
  <c r="I209" i="5"/>
  <c r="L208" i="5"/>
  <c r="K208" i="5"/>
  <c r="J208" i="5"/>
  <c r="I208" i="5"/>
  <c r="L207" i="5"/>
  <c r="K207" i="5"/>
  <c r="J207" i="5"/>
  <c r="I207" i="5"/>
  <c r="L206" i="5"/>
  <c r="K206" i="5"/>
  <c r="J206" i="5"/>
  <c r="I206" i="5"/>
  <c r="L205" i="5"/>
  <c r="K205" i="5"/>
  <c r="J205" i="5"/>
  <c r="I205" i="5"/>
  <c r="L204" i="5"/>
  <c r="K204" i="5"/>
  <c r="J204" i="5"/>
  <c r="I204" i="5"/>
  <c r="L203" i="5"/>
  <c r="K203" i="5"/>
  <c r="J203" i="5"/>
  <c r="I203" i="5"/>
  <c r="L202" i="5"/>
  <c r="K202" i="5"/>
  <c r="J202" i="5"/>
  <c r="I202" i="5"/>
  <c r="L201" i="5"/>
  <c r="K201" i="5"/>
  <c r="J201" i="5"/>
  <c r="I201" i="5"/>
  <c r="L200" i="5"/>
  <c r="K200" i="5"/>
  <c r="J200" i="5"/>
  <c r="I200" i="5"/>
  <c r="L199" i="5"/>
  <c r="K199" i="5"/>
  <c r="J199" i="5"/>
  <c r="I199" i="5"/>
  <c r="L198" i="5"/>
  <c r="K198" i="5"/>
  <c r="J198" i="5"/>
  <c r="I198" i="5"/>
  <c r="L197" i="5"/>
  <c r="K197" i="5"/>
  <c r="J197" i="5"/>
  <c r="I197" i="5"/>
  <c r="L196" i="5"/>
  <c r="K196" i="5"/>
  <c r="J196" i="5"/>
  <c r="I196" i="5"/>
  <c r="L195" i="5"/>
  <c r="K195" i="5"/>
  <c r="J195" i="5"/>
  <c r="I195" i="5"/>
  <c r="K194" i="5"/>
  <c r="J194" i="5"/>
  <c r="I194" i="5"/>
  <c r="J193" i="5"/>
  <c r="I193" i="5"/>
  <c r="I192" i="5"/>
  <c r="I191" i="5"/>
  <c r="D193" i="5"/>
  <c r="D194" i="5"/>
  <c r="E194" i="5"/>
  <c r="D195" i="5"/>
  <c r="E195" i="5"/>
  <c r="F195" i="5"/>
  <c r="D196" i="5"/>
  <c r="E196" i="5"/>
  <c r="F196" i="5"/>
  <c r="D197" i="5"/>
  <c r="E197" i="5"/>
  <c r="F197" i="5"/>
  <c r="D198" i="5"/>
  <c r="E198" i="5"/>
  <c r="F198" i="5"/>
  <c r="D199" i="5"/>
  <c r="E199" i="5"/>
  <c r="F199" i="5"/>
  <c r="D200" i="5"/>
  <c r="E200" i="5"/>
  <c r="F200" i="5"/>
  <c r="D201" i="5"/>
  <c r="E201" i="5"/>
  <c r="F201" i="5"/>
  <c r="D202" i="5"/>
  <c r="E202" i="5"/>
  <c r="F202" i="5"/>
  <c r="D203" i="5"/>
  <c r="E203" i="5"/>
  <c r="F203" i="5"/>
  <c r="D204" i="5"/>
  <c r="E204" i="5"/>
  <c r="F204" i="5"/>
  <c r="D205" i="5"/>
  <c r="E205" i="5"/>
  <c r="F205" i="5"/>
  <c r="D206" i="5"/>
  <c r="E206" i="5"/>
  <c r="F206" i="5"/>
  <c r="D207" i="5"/>
  <c r="E207" i="5"/>
  <c r="F207" i="5"/>
  <c r="D208" i="5"/>
  <c r="E208" i="5"/>
  <c r="F208" i="5"/>
  <c r="D209" i="5"/>
  <c r="E209" i="5"/>
  <c r="F209" i="5"/>
  <c r="D210" i="5"/>
  <c r="E210" i="5"/>
  <c r="F210" i="5"/>
  <c r="D211" i="5"/>
  <c r="E211" i="5"/>
  <c r="F211" i="5"/>
  <c r="C211" i="5"/>
  <c r="C192" i="5"/>
  <c r="C193" i="5"/>
  <c r="C194" i="5"/>
  <c r="C195" i="5"/>
  <c r="C196" i="5"/>
  <c r="C197" i="5"/>
  <c r="C198" i="5"/>
  <c r="C199" i="5"/>
  <c r="C200" i="5"/>
  <c r="C201" i="5"/>
  <c r="C202" i="5"/>
  <c r="C203" i="5"/>
  <c r="C204" i="5"/>
  <c r="C205" i="5"/>
  <c r="C206" i="5"/>
  <c r="C207" i="5"/>
  <c r="C208" i="5"/>
  <c r="C209" i="5"/>
  <c r="C210" i="5"/>
  <c r="C191" i="5"/>
  <c r="AB187" i="5"/>
  <c r="AB186" i="5"/>
  <c r="AB185" i="5"/>
  <c r="AB184" i="5"/>
  <c r="AB183" i="5"/>
  <c r="AB182" i="5"/>
  <c r="AB181" i="5"/>
  <c r="AB180" i="5"/>
  <c r="AB179" i="5"/>
  <c r="AB178" i="5"/>
  <c r="AB177" i="5"/>
  <c r="AB176" i="5"/>
  <c r="AB175" i="5"/>
  <c r="AB174" i="5"/>
  <c r="AB173" i="5"/>
  <c r="AB172" i="5"/>
  <c r="AB171" i="5"/>
  <c r="AB170" i="5"/>
  <c r="AB169" i="5"/>
  <c r="AB168" i="5"/>
  <c r="AB140" i="5"/>
  <c r="AB139" i="5"/>
  <c r="AB138" i="5"/>
  <c r="AB137" i="5"/>
  <c r="AB136" i="5"/>
  <c r="AB135" i="5"/>
  <c r="AB134" i="5"/>
  <c r="AB133" i="5"/>
  <c r="AB132" i="5"/>
  <c r="AB131" i="5"/>
  <c r="AB130" i="5"/>
  <c r="AB129" i="5"/>
  <c r="AB128" i="5"/>
  <c r="AB127" i="5"/>
  <c r="AB126" i="5"/>
  <c r="AB125" i="5"/>
  <c r="AB124" i="5"/>
  <c r="AB123" i="5"/>
  <c r="AB122" i="5"/>
  <c r="AB121" i="5"/>
  <c r="AB120" i="5"/>
  <c r="K140" i="5"/>
  <c r="J140" i="5"/>
  <c r="I140" i="5"/>
  <c r="L139" i="5"/>
  <c r="K139" i="5"/>
  <c r="J139" i="5"/>
  <c r="I139" i="5"/>
  <c r="L138" i="5"/>
  <c r="K138" i="5"/>
  <c r="J138" i="5"/>
  <c r="I138" i="5"/>
  <c r="L137" i="5"/>
  <c r="K137" i="5"/>
  <c r="J137" i="5"/>
  <c r="I137" i="5"/>
  <c r="L136" i="5"/>
  <c r="K136" i="5"/>
  <c r="J136" i="5"/>
  <c r="I136" i="5"/>
  <c r="L135" i="5"/>
  <c r="K135" i="5"/>
  <c r="J135" i="5"/>
  <c r="I135" i="5"/>
  <c r="L134" i="5"/>
  <c r="K134" i="5"/>
  <c r="J134" i="5"/>
  <c r="I134" i="5"/>
  <c r="L133" i="5"/>
  <c r="K133" i="5"/>
  <c r="J133" i="5"/>
  <c r="I133" i="5"/>
  <c r="L132" i="5"/>
  <c r="K132" i="5"/>
  <c r="J132" i="5"/>
  <c r="I132" i="5"/>
  <c r="L131" i="5"/>
  <c r="K131" i="5"/>
  <c r="J131" i="5"/>
  <c r="I131" i="5"/>
  <c r="L130" i="5"/>
  <c r="K130" i="5"/>
  <c r="J130" i="5"/>
  <c r="I130" i="5"/>
  <c r="L129" i="5"/>
  <c r="K129" i="5"/>
  <c r="J129" i="5"/>
  <c r="I129" i="5"/>
  <c r="L128" i="5"/>
  <c r="K128" i="5"/>
  <c r="J128" i="5"/>
  <c r="I128" i="5"/>
  <c r="L127" i="5"/>
  <c r="K127" i="5"/>
  <c r="J127" i="5"/>
  <c r="I127" i="5"/>
  <c r="L126" i="5"/>
  <c r="K126" i="5"/>
  <c r="J126" i="5"/>
  <c r="I126" i="5"/>
  <c r="L125" i="5"/>
  <c r="K125" i="5"/>
  <c r="J125" i="5"/>
  <c r="I125" i="5"/>
  <c r="L124" i="5"/>
  <c r="K124" i="5"/>
  <c r="J124" i="5"/>
  <c r="I124" i="5"/>
  <c r="K123" i="5"/>
  <c r="J123" i="5"/>
  <c r="I123" i="5"/>
  <c r="J122" i="5"/>
  <c r="I122" i="5"/>
  <c r="I121" i="5"/>
  <c r="I120" i="5"/>
  <c r="D122" i="5"/>
  <c r="D123" i="5"/>
  <c r="E123" i="5"/>
  <c r="D124" i="5"/>
  <c r="E124" i="5"/>
  <c r="F124" i="5"/>
  <c r="D125" i="5"/>
  <c r="E125" i="5"/>
  <c r="F125" i="5"/>
  <c r="D126" i="5"/>
  <c r="E126" i="5"/>
  <c r="F126" i="5"/>
  <c r="D127" i="5"/>
  <c r="E127" i="5"/>
  <c r="F127" i="5"/>
  <c r="D128" i="5"/>
  <c r="E128" i="5"/>
  <c r="F128" i="5"/>
  <c r="D129" i="5"/>
  <c r="E129" i="5"/>
  <c r="F129" i="5"/>
  <c r="D130" i="5"/>
  <c r="E130" i="5"/>
  <c r="F130" i="5"/>
  <c r="D131" i="5"/>
  <c r="E131" i="5"/>
  <c r="F131" i="5"/>
  <c r="D132" i="5"/>
  <c r="E132" i="5"/>
  <c r="F132" i="5"/>
  <c r="D133" i="5"/>
  <c r="E133" i="5"/>
  <c r="F133" i="5"/>
  <c r="D134" i="5"/>
  <c r="E134" i="5"/>
  <c r="F134" i="5"/>
  <c r="D135" i="5"/>
  <c r="E135" i="5"/>
  <c r="F135" i="5"/>
  <c r="D136" i="5"/>
  <c r="E136" i="5"/>
  <c r="F136" i="5"/>
  <c r="D137" i="5"/>
  <c r="E137" i="5"/>
  <c r="F137" i="5"/>
  <c r="D138" i="5"/>
  <c r="E138" i="5"/>
  <c r="F138" i="5"/>
  <c r="D139" i="5"/>
  <c r="E139" i="5"/>
  <c r="F139" i="5"/>
  <c r="D140" i="5"/>
  <c r="E140" i="5"/>
  <c r="F140" i="5"/>
  <c r="C121" i="5"/>
  <c r="C122" i="5"/>
  <c r="C123" i="5"/>
  <c r="C124" i="5"/>
  <c r="C125" i="5"/>
  <c r="C126" i="5"/>
  <c r="C127" i="5"/>
  <c r="C128" i="5"/>
  <c r="C129" i="5"/>
  <c r="C130" i="5"/>
  <c r="C131" i="5"/>
  <c r="C132" i="5"/>
  <c r="C133" i="5"/>
  <c r="C134" i="5"/>
  <c r="C135" i="5"/>
  <c r="C136" i="5"/>
  <c r="C137" i="5"/>
  <c r="C138" i="5"/>
  <c r="C139" i="5"/>
  <c r="C140" i="5"/>
  <c r="C120" i="5"/>
  <c r="K117" i="5"/>
  <c r="J117" i="5"/>
  <c r="I117" i="5"/>
  <c r="L116" i="5"/>
  <c r="K116" i="5"/>
  <c r="J116" i="5"/>
  <c r="I116" i="5"/>
  <c r="L115" i="5"/>
  <c r="K115" i="5"/>
  <c r="J115" i="5"/>
  <c r="I115" i="5"/>
  <c r="L114" i="5"/>
  <c r="K114" i="5"/>
  <c r="J114" i="5"/>
  <c r="I114" i="5"/>
  <c r="L113" i="5"/>
  <c r="K113" i="5"/>
  <c r="J113" i="5"/>
  <c r="I113" i="5"/>
  <c r="L112" i="5"/>
  <c r="K112" i="5"/>
  <c r="J112" i="5"/>
  <c r="I112" i="5"/>
  <c r="L111" i="5"/>
  <c r="K111" i="5"/>
  <c r="J111" i="5"/>
  <c r="I111" i="5"/>
  <c r="L110" i="5"/>
  <c r="K110" i="5"/>
  <c r="J110" i="5"/>
  <c r="I110" i="5"/>
  <c r="L109" i="5"/>
  <c r="K109" i="5"/>
  <c r="J109" i="5"/>
  <c r="I109" i="5"/>
  <c r="L108" i="5"/>
  <c r="K108" i="5"/>
  <c r="J108" i="5"/>
  <c r="I108" i="5"/>
  <c r="L107" i="5"/>
  <c r="K107" i="5"/>
  <c r="J107" i="5"/>
  <c r="I107" i="5"/>
  <c r="L106" i="5"/>
  <c r="K106" i="5"/>
  <c r="J106" i="5"/>
  <c r="I106" i="5"/>
  <c r="L105" i="5"/>
  <c r="K105" i="5"/>
  <c r="J105" i="5"/>
  <c r="I105" i="5"/>
  <c r="L104" i="5"/>
  <c r="K104" i="5"/>
  <c r="J104" i="5"/>
  <c r="I104" i="5"/>
  <c r="L103" i="5"/>
  <c r="K103" i="5"/>
  <c r="J103" i="5"/>
  <c r="I103" i="5"/>
  <c r="L102" i="5"/>
  <c r="K102" i="5"/>
  <c r="J102" i="5"/>
  <c r="I102" i="5"/>
  <c r="L101" i="5"/>
  <c r="K101" i="5"/>
  <c r="J101" i="5"/>
  <c r="I101" i="5"/>
  <c r="K100" i="5"/>
  <c r="J100" i="5"/>
  <c r="I100" i="5"/>
  <c r="J99" i="5"/>
  <c r="I99" i="5"/>
  <c r="I98" i="5"/>
  <c r="I97" i="5"/>
  <c r="D99" i="5"/>
  <c r="D100" i="5"/>
  <c r="E100" i="5"/>
  <c r="D101" i="5"/>
  <c r="E101" i="5"/>
  <c r="F101" i="5"/>
  <c r="D102" i="5"/>
  <c r="E102" i="5"/>
  <c r="F102" i="5"/>
  <c r="D103" i="5"/>
  <c r="E103" i="5"/>
  <c r="F103" i="5"/>
  <c r="D104" i="5"/>
  <c r="E104" i="5"/>
  <c r="F104" i="5"/>
  <c r="D105" i="5"/>
  <c r="E105" i="5"/>
  <c r="F105" i="5"/>
  <c r="D106" i="5"/>
  <c r="E106" i="5"/>
  <c r="F106" i="5"/>
  <c r="D107" i="5"/>
  <c r="E107" i="5"/>
  <c r="F107" i="5"/>
  <c r="D108" i="5"/>
  <c r="E108" i="5"/>
  <c r="F108" i="5"/>
  <c r="D109" i="5"/>
  <c r="E109" i="5"/>
  <c r="F109" i="5"/>
  <c r="D110" i="5"/>
  <c r="E110" i="5"/>
  <c r="F110" i="5"/>
  <c r="D111" i="5"/>
  <c r="E111" i="5"/>
  <c r="F111" i="5"/>
  <c r="D112" i="5"/>
  <c r="E112" i="5"/>
  <c r="F112" i="5"/>
  <c r="D113" i="5"/>
  <c r="E113" i="5"/>
  <c r="F113" i="5"/>
  <c r="D114" i="5"/>
  <c r="E114" i="5"/>
  <c r="F114" i="5"/>
  <c r="D115" i="5"/>
  <c r="E115" i="5"/>
  <c r="F115" i="5"/>
  <c r="D116" i="5"/>
  <c r="E116" i="5"/>
  <c r="F116" i="5"/>
  <c r="D117" i="5"/>
  <c r="E117" i="5"/>
  <c r="F117" i="5"/>
  <c r="C98" i="5"/>
  <c r="C99" i="5"/>
  <c r="C100" i="5"/>
  <c r="C101" i="5"/>
  <c r="C102" i="5"/>
  <c r="C103" i="5"/>
  <c r="C104" i="5"/>
  <c r="C105" i="5"/>
  <c r="C106" i="5"/>
  <c r="C107" i="5"/>
  <c r="C108" i="5"/>
  <c r="C109" i="5"/>
  <c r="C110" i="5"/>
  <c r="C111" i="5"/>
  <c r="C112" i="5"/>
  <c r="C113" i="5"/>
  <c r="C114" i="5"/>
  <c r="C115" i="5"/>
  <c r="C116" i="5"/>
  <c r="C117" i="5"/>
  <c r="C97" i="5"/>
  <c r="AC73" i="5"/>
  <c r="AD73" i="5"/>
  <c r="AE73" i="5"/>
  <c r="AH73" i="5"/>
  <c r="AI73" i="5"/>
  <c r="AJ73" i="5"/>
  <c r="AC74" i="5"/>
  <c r="AD74" i="5"/>
  <c r="AE74" i="5"/>
  <c r="AH74" i="5"/>
  <c r="AI74" i="5"/>
  <c r="AJ74" i="5"/>
  <c r="AC75" i="5"/>
  <c r="AD75" i="5"/>
  <c r="AE75" i="5"/>
  <c r="AH75" i="5"/>
  <c r="AI75" i="5"/>
  <c r="AJ75" i="5"/>
  <c r="AC76" i="5"/>
  <c r="AD76" i="5"/>
  <c r="AE76" i="5"/>
  <c r="AH76" i="5"/>
  <c r="AI76" i="5"/>
  <c r="AJ76" i="5"/>
  <c r="AC77" i="5"/>
  <c r="AD77" i="5"/>
  <c r="AE77" i="5"/>
  <c r="AH77" i="5"/>
  <c r="AI77" i="5"/>
  <c r="AJ77" i="5"/>
  <c r="AC78" i="5"/>
  <c r="AD78" i="5"/>
  <c r="AE78" i="5"/>
  <c r="AH78" i="5"/>
  <c r="AI78" i="5"/>
  <c r="AJ78" i="5"/>
  <c r="AC79" i="5"/>
  <c r="AD79" i="5"/>
  <c r="AE79" i="5"/>
  <c r="AH79" i="5"/>
  <c r="AI79" i="5"/>
  <c r="AJ79" i="5"/>
  <c r="AC80" i="5"/>
  <c r="AD80" i="5"/>
  <c r="AE80" i="5"/>
  <c r="AH80" i="5"/>
  <c r="AI80" i="5"/>
  <c r="AJ80" i="5"/>
  <c r="AC81" i="5"/>
  <c r="AD81" i="5"/>
  <c r="AE81" i="5"/>
  <c r="AH81" i="5"/>
  <c r="AI81" i="5"/>
  <c r="AJ81" i="5"/>
  <c r="AC82" i="5"/>
  <c r="AD82" i="5"/>
  <c r="AE82" i="5"/>
  <c r="AH82" i="5"/>
  <c r="AI82" i="5"/>
  <c r="AJ82" i="5"/>
  <c r="AC83" i="5"/>
  <c r="AD83" i="5"/>
  <c r="AE83" i="5"/>
  <c r="AH83" i="5"/>
  <c r="AI83" i="5"/>
  <c r="AJ83" i="5"/>
  <c r="AC84" i="5"/>
  <c r="AD84" i="5"/>
  <c r="AE84" i="5"/>
  <c r="AH84" i="5"/>
  <c r="AI84" i="5"/>
  <c r="AJ84" i="5"/>
  <c r="AC85" i="5"/>
  <c r="AD85" i="5"/>
  <c r="AE85" i="5"/>
  <c r="AH85" i="5"/>
  <c r="AI85" i="5"/>
  <c r="AJ85" i="5"/>
  <c r="AC86" i="5"/>
  <c r="AD86" i="5"/>
  <c r="AE86" i="5"/>
  <c r="AH86" i="5"/>
  <c r="AI86" i="5"/>
  <c r="AJ86" i="5"/>
  <c r="AC87" i="5"/>
  <c r="AD87" i="5"/>
  <c r="AE87" i="5"/>
  <c r="AH87" i="5"/>
  <c r="AI87" i="5"/>
  <c r="AJ87" i="5"/>
  <c r="AC88" i="5"/>
  <c r="AD88" i="5"/>
  <c r="AE88" i="5"/>
  <c r="AH88" i="5"/>
  <c r="AI88" i="5"/>
  <c r="AJ88" i="5"/>
  <c r="AC89" i="5"/>
  <c r="AD89" i="5"/>
  <c r="AE89" i="5"/>
  <c r="AH89" i="5"/>
  <c r="AI89" i="5"/>
  <c r="AJ89" i="5"/>
  <c r="AC90" i="5"/>
  <c r="AD90" i="5"/>
  <c r="AE90" i="5"/>
  <c r="AH90" i="5"/>
  <c r="AI90" i="5"/>
  <c r="AJ90" i="5"/>
  <c r="AC91" i="5"/>
  <c r="AD91" i="5"/>
  <c r="AE91" i="5"/>
  <c r="AH91" i="5"/>
  <c r="AI91" i="5"/>
  <c r="AJ91" i="5"/>
  <c r="AC92" i="5"/>
  <c r="AD92" i="5"/>
  <c r="AE92" i="5"/>
  <c r="AH92" i="5"/>
  <c r="AI92" i="5"/>
  <c r="AJ92" i="5"/>
  <c r="AC93" i="5"/>
  <c r="AD93" i="5"/>
  <c r="AE93" i="5"/>
  <c r="AH93" i="5"/>
  <c r="AI93" i="5"/>
  <c r="AJ93" i="5"/>
  <c r="AB74" i="5"/>
  <c r="AB75" i="5"/>
  <c r="AB76" i="5"/>
  <c r="AB77" i="5"/>
  <c r="AB78" i="5"/>
  <c r="AB79" i="5"/>
  <c r="AB80" i="5"/>
  <c r="AB81" i="5"/>
  <c r="AB82" i="5"/>
  <c r="AB83" i="5"/>
  <c r="AB84" i="5"/>
  <c r="AB85" i="5"/>
  <c r="AB86" i="5"/>
  <c r="AB87" i="5"/>
  <c r="AB88" i="5"/>
  <c r="AB89" i="5"/>
  <c r="AB90" i="5"/>
  <c r="AB91" i="5"/>
  <c r="AB92" i="5"/>
  <c r="AB93" i="5"/>
  <c r="AB73" i="5"/>
  <c r="K93" i="5"/>
  <c r="J93" i="5"/>
  <c r="I93" i="5"/>
  <c r="L92" i="5"/>
  <c r="K92" i="5"/>
  <c r="J92" i="5"/>
  <c r="I92" i="5"/>
  <c r="L91" i="5"/>
  <c r="K91" i="5"/>
  <c r="J91" i="5"/>
  <c r="I91" i="5"/>
  <c r="L90" i="5"/>
  <c r="K90" i="5"/>
  <c r="J90" i="5"/>
  <c r="I90" i="5"/>
  <c r="L89" i="5"/>
  <c r="K89" i="5"/>
  <c r="J89" i="5"/>
  <c r="I89" i="5"/>
  <c r="L88" i="5"/>
  <c r="K88" i="5"/>
  <c r="J88" i="5"/>
  <c r="I88" i="5"/>
  <c r="L87" i="5"/>
  <c r="K87" i="5"/>
  <c r="J87" i="5"/>
  <c r="I87" i="5"/>
  <c r="L86" i="5"/>
  <c r="K86" i="5"/>
  <c r="J86" i="5"/>
  <c r="I86" i="5"/>
  <c r="L85" i="5"/>
  <c r="K85" i="5"/>
  <c r="J85" i="5"/>
  <c r="I85" i="5"/>
  <c r="L84" i="5"/>
  <c r="K84" i="5"/>
  <c r="J84" i="5"/>
  <c r="I84" i="5"/>
  <c r="L83" i="5"/>
  <c r="K83" i="5"/>
  <c r="J83" i="5"/>
  <c r="I83" i="5"/>
  <c r="L82" i="5"/>
  <c r="K82" i="5"/>
  <c r="J82" i="5"/>
  <c r="I82" i="5"/>
  <c r="L81" i="5"/>
  <c r="K81" i="5"/>
  <c r="J81" i="5"/>
  <c r="I81" i="5"/>
  <c r="L80" i="5"/>
  <c r="K80" i="5"/>
  <c r="J80" i="5"/>
  <c r="I80" i="5"/>
  <c r="L79" i="5"/>
  <c r="K79" i="5"/>
  <c r="J79" i="5"/>
  <c r="I79" i="5"/>
  <c r="L78" i="5"/>
  <c r="K78" i="5"/>
  <c r="J78" i="5"/>
  <c r="I78" i="5"/>
  <c r="L77" i="5"/>
  <c r="K77" i="5"/>
  <c r="J77" i="5"/>
  <c r="I77" i="5"/>
  <c r="K76" i="5"/>
  <c r="J76" i="5"/>
  <c r="I76" i="5"/>
  <c r="J75" i="5"/>
  <c r="I75" i="5"/>
  <c r="I74" i="5"/>
  <c r="I73" i="5"/>
  <c r="D75" i="5"/>
  <c r="D76" i="5"/>
  <c r="E76" i="5"/>
  <c r="D77" i="5"/>
  <c r="E77" i="5"/>
  <c r="F77" i="5"/>
  <c r="D78" i="5"/>
  <c r="E78" i="5"/>
  <c r="F78" i="5"/>
  <c r="D79" i="5"/>
  <c r="E79" i="5"/>
  <c r="F79" i="5"/>
  <c r="D80" i="5"/>
  <c r="E80" i="5"/>
  <c r="F80" i="5"/>
  <c r="D81" i="5"/>
  <c r="E81" i="5"/>
  <c r="F81" i="5"/>
  <c r="D82" i="5"/>
  <c r="E82" i="5"/>
  <c r="F82" i="5"/>
  <c r="D83" i="5"/>
  <c r="E83" i="5"/>
  <c r="F83" i="5"/>
  <c r="D84" i="5"/>
  <c r="E84" i="5"/>
  <c r="F84" i="5"/>
  <c r="D85" i="5"/>
  <c r="E85" i="5"/>
  <c r="F85" i="5"/>
  <c r="D86" i="5"/>
  <c r="E86" i="5"/>
  <c r="F86" i="5"/>
  <c r="D87" i="5"/>
  <c r="E87" i="5"/>
  <c r="F87" i="5"/>
  <c r="D88" i="5"/>
  <c r="E88" i="5"/>
  <c r="F88" i="5"/>
  <c r="D89" i="5"/>
  <c r="E89" i="5"/>
  <c r="F89" i="5"/>
  <c r="D90" i="5"/>
  <c r="E90" i="5"/>
  <c r="F90" i="5"/>
  <c r="D91" i="5"/>
  <c r="E91" i="5"/>
  <c r="F91" i="5"/>
  <c r="D92" i="5"/>
  <c r="E92" i="5"/>
  <c r="F92" i="5"/>
  <c r="D93" i="5"/>
  <c r="E93" i="5"/>
  <c r="F93" i="5"/>
  <c r="C74" i="5"/>
  <c r="C75" i="5"/>
  <c r="C76" i="5"/>
  <c r="C77" i="5"/>
  <c r="C78" i="5"/>
  <c r="C79" i="5"/>
  <c r="C80" i="5"/>
  <c r="C81" i="5"/>
  <c r="C82" i="5"/>
  <c r="C83" i="5"/>
  <c r="C84" i="5"/>
  <c r="C85" i="5"/>
  <c r="C86" i="5"/>
  <c r="C87" i="5"/>
  <c r="C88" i="5"/>
  <c r="C89" i="5"/>
  <c r="C90" i="5"/>
  <c r="C91" i="5"/>
  <c r="C92" i="5"/>
  <c r="C93" i="5"/>
  <c r="C73" i="5"/>
  <c r="K70" i="5"/>
  <c r="J70" i="5"/>
  <c r="I70" i="5"/>
  <c r="L69" i="5"/>
  <c r="K69" i="5"/>
  <c r="J69" i="5"/>
  <c r="I69" i="5"/>
  <c r="L68" i="5"/>
  <c r="K68" i="5"/>
  <c r="J68" i="5"/>
  <c r="I68" i="5"/>
  <c r="L67" i="5"/>
  <c r="K67" i="5"/>
  <c r="J67" i="5"/>
  <c r="I67" i="5"/>
  <c r="L66" i="5"/>
  <c r="K66" i="5"/>
  <c r="J66" i="5"/>
  <c r="I66" i="5"/>
  <c r="L65" i="5"/>
  <c r="K65" i="5"/>
  <c r="J65" i="5"/>
  <c r="I65" i="5"/>
  <c r="L64" i="5"/>
  <c r="K64" i="5"/>
  <c r="J64" i="5"/>
  <c r="I64" i="5"/>
  <c r="L63" i="5"/>
  <c r="K63" i="5"/>
  <c r="J63" i="5"/>
  <c r="I63" i="5"/>
  <c r="L62" i="5"/>
  <c r="K62" i="5"/>
  <c r="J62" i="5"/>
  <c r="I62" i="5"/>
  <c r="L61" i="5"/>
  <c r="K61" i="5"/>
  <c r="J61" i="5"/>
  <c r="I61" i="5"/>
  <c r="L60" i="5"/>
  <c r="K60" i="5"/>
  <c r="J60" i="5"/>
  <c r="I60" i="5"/>
  <c r="L59" i="5"/>
  <c r="K59" i="5"/>
  <c r="J59" i="5"/>
  <c r="I59" i="5"/>
  <c r="L58" i="5"/>
  <c r="K58" i="5"/>
  <c r="J58" i="5"/>
  <c r="I58" i="5"/>
  <c r="L57" i="5"/>
  <c r="K57" i="5"/>
  <c r="J57" i="5"/>
  <c r="I57" i="5"/>
  <c r="L56" i="5"/>
  <c r="K56" i="5"/>
  <c r="J56" i="5"/>
  <c r="I56" i="5"/>
  <c r="L55" i="5"/>
  <c r="K55" i="5"/>
  <c r="J55" i="5"/>
  <c r="I55" i="5"/>
  <c r="L54" i="5"/>
  <c r="K54" i="5"/>
  <c r="J54" i="5"/>
  <c r="I54" i="5"/>
  <c r="K53" i="5"/>
  <c r="J53" i="5"/>
  <c r="I53" i="5"/>
  <c r="J52" i="5"/>
  <c r="I52" i="5"/>
  <c r="I51" i="5"/>
  <c r="I50" i="5"/>
  <c r="D52" i="5"/>
  <c r="D53" i="5"/>
  <c r="E53" i="5"/>
  <c r="D54" i="5"/>
  <c r="E54" i="5"/>
  <c r="F54" i="5"/>
  <c r="D55" i="5"/>
  <c r="E55" i="5"/>
  <c r="F55" i="5"/>
  <c r="D56" i="5"/>
  <c r="E56" i="5"/>
  <c r="F56" i="5"/>
  <c r="D57" i="5"/>
  <c r="E57" i="5"/>
  <c r="F57" i="5"/>
  <c r="D58" i="5"/>
  <c r="E58" i="5"/>
  <c r="F58" i="5"/>
  <c r="D59" i="5"/>
  <c r="E59" i="5"/>
  <c r="F59" i="5"/>
  <c r="D60" i="5"/>
  <c r="E60" i="5"/>
  <c r="F60" i="5"/>
  <c r="D61" i="5"/>
  <c r="E61" i="5"/>
  <c r="F61" i="5"/>
  <c r="D62" i="5"/>
  <c r="E62" i="5"/>
  <c r="F62" i="5"/>
  <c r="D63" i="5"/>
  <c r="E63" i="5"/>
  <c r="F63" i="5"/>
  <c r="D64" i="5"/>
  <c r="E64" i="5"/>
  <c r="F64" i="5"/>
  <c r="D65" i="5"/>
  <c r="E65" i="5"/>
  <c r="F65" i="5"/>
  <c r="D66" i="5"/>
  <c r="E66" i="5"/>
  <c r="F66" i="5"/>
  <c r="D67" i="5"/>
  <c r="E67" i="5"/>
  <c r="F67" i="5"/>
  <c r="D68" i="5"/>
  <c r="E68" i="5"/>
  <c r="F68" i="5"/>
  <c r="D69" i="5"/>
  <c r="E69" i="5"/>
  <c r="F69" i="5"/>
  <c r="D70" i="5"/>
  <c r="E70" i="5"/>
  <c r="F70" i="5"/>
  <c r="C51" i="5"/>
  <c r="C52" i="5"/>
  <c r="C53" i="5"/>
  <c r="C54" i="5"/>
  <c r="C55" i="5"/>
  <c r="C56" i="5"/>
  <c r="C57" i="5"/>
  <c r="C58" i="5"/>
  <c r="C59" i="5"/>
  <c r="C60" i="5"/>
  <c r="C61" i="5"/>
  <c r="C62" i="5"/>
  <c r="C63" i="5"/>
  <c r="C64" i="5"/>
  <c r="C65" i="5"/>
  <c r="C66" i="5"/>
  <c r="C67" i="5"/>
  <c r="C68" i="5"/>
  <c r="C69" i="5"/>
  <c r="C70" i="5"/>
  <c r="C50" i="5"/>
  <c r="Q285" i="5"/>
  <c r="R285" i="5"/>
  <c r="S285" i="5"/>
  <c r="V285" i="5"/>
  <c r="W285" i="5"/>
  <c r="X285" i="5"/>
  <c r="Y285" i="5"/>
  <c r="Q286" i="5"/>
  <c r="R286" i="5"/>
  <c r="S286" i="5"/>
  <c r="V286" i="5"/>
  <c r="W286" i="5"/>
  <c r="X286" i="5"/>
  <c r="Y286" i="5"/>
  <c r="Q287" i="5"/>
  <c r="R287" i="5"/>
  <c r="S287" i="5"/>
  <c r="V287" i="5"/>
  <c r="W287" i="5"/>
  <c r="X287" i="5"/>
  <c r="Y287" i="5"/>
  <c r="Q288" i="5"/>
  <c r="R288" i="5"/>
  <c r="S288" i="5"/>
  <c r="V288" i="5"/>
  <c r="W288" i="5"/>
  <c r="X288" i="5"/>
  <c r="Y288" i="5"/>
  <c r="Q289" i="5"/>
  <c r="R289" i="5"/>
  <c r="S289" i="5"/>
  <c r="V289" i="5"/>
  <c r="W289" i="5"/>
  <c r="X289" i="5"/>
  <c r="Y289" i="5"/>
  <c r="Q290" i="5"/>
  <c r="R290" i="5"/>
  <c r="S290" i="5"/>
  <c r="V290" i="5"/>
  <c r="W290" i="5"/>
  <c r="X290" i="5"/>
  <c r="Y290" i="5"/>
  <c r="Q291" i="5"/>
  <c r="R291" i="5"/>
  <c r="S291" i="5"/>
  <c r="V291" i="5"/>
  <c r="W291" i="5"/>
  <c r="X291" i="5"/>
  <c r="Y291" i="5"/>
  <c r="Q292" i="5"/>
  <c r="R292" i="5"/>
  <c r="S292" i="5"/>
  <c r="V292" i="5"/>
  <c r="W292" i="5"/>
  <c r="X292" i="5"/>
  <c r="Y292" i="5"/>
  <c r="Q293" i="5"/>
  <c r="R293" i="5"/>
  <c r="S293" i="5"/>
  <c r="V293" i="5"/>
  <c r="W293" i="5"/>
  <c r="X293" i="5"/>
  <c r="Y293" i="5"/>
  <c r="Q294" i="5"/>
  <c r="R294" i="5"/>
  <c r="S294" i="5"/>
  <c r="V294" i="5"/>
  <c r="W294" i="5"/>
  <c r="X294" i="5"/>
  <c r="Y294" i="5"/>
  <c r="Q295" i="5"/>
  <c r="R295" i="5"/>
  <c r="S295" i="5"/>
  <c r="V295" i="5"/>
  <c r="W295" i="5"/>
  <c r="X295" i="5"/>
  <c r="Y295" i="5"/>
  <c r="Q296" i="5"/>
  <c r="R296" i="5"/>
  <c r="S296" i="5"/>
  <c r="V296" i="5"/>
  <c r="W296" i="5"/>
  <c r="X296" i="5"/>
  <c r="Y296" i="5"/>
  <c r="Q297" i="5"/>
  <c r="R297" i="5"/>
  <c r="S297" i="5"/>
  <c r="V297" i="5"/>
  <c r="W297" i="5"/>
  <c r="X297" i="5"/>
  <c r="Y297" i="5"/>
  <c r="Q298" i="5"/>
  <c r="R298" i="5"/>
  <c r="S298" i="5"/>
  <c r="V298" i="5"/>
  <c r="W298" i="5"/>
  <c r="X298" i="5"/>
  <c r="Y298" i="5"/>
  <c r="Q299" i="5"/>
  <c r="R299" i="5"/>
  <c r="S299" i="5"/>
  <c r="V299" i="5"/>
  <c r="W299" i="5"/>
  <c r="X299" i="5"/>
  <c r="Y299" i="5"/>
  <c r="Q300" i="5"/>
  <c r="R300" i="5"/>
  <c r="S300" i="5"/>
  <c r="V300" i="5"/>
  <c r="W300" i="5"/>
  <c r="X300" i="5"/>
  <c r="Y300" i="5"/>
  <c r="Q301" i="5"/>
  <c r="R301" i="5"/>
  <c r="S301" i="5"/>
  <c r="V301" i="5"/>
  <c r="W301" i="5"/>
  <c r="X301" i="5"/>
  <c r="Y301" i="5"/>
  <c r="Q302" i="5"/>
  <c r="R302" i="5"/>
  <c r="S302" i="5"/>
  <c r="V302" i="5"/>
  <c r="W302" i="5"/>
  <c r="X302" i="5"/>
  <c r="Y302" i="5"/>
  <c r="Q303" i="5"/>
  <c r="R303" i="5"/>
  <c r="S303" i="5"/>
  <c r="V303" i="5"/>
  <c r="W303" i="5"/>
  <c r="X303" i="5"/>
  <c r="Y303" i="5"/>
  <c r="Q304" i="5"/>
  <c r="R304" i="5"/>
  <c r="S304" i="5"/>
  <c r="V304" i="5"/>
  <c r="W304" i="5"/>
  <c r="X304" i="5"/>
  <c r="Y304" i="5"/>
  <c r="Q305" i="5"/>
  <c r="R305" i="5"/>
  <c r="S305" i="5"/>
  <c r="V305" i="5"/>
  <c r="W305" i="5"/>
  <c r="X305" i="5"/>
  <c r="Y305" i="5"/>
  <c r="P286" i="5"/>
  <c r="P287" i="5"/>
  <c r="P288" i="5"/>
  <c r="P289" i="5"/>
  <c r="P290" i="5"/>
  <c r="P291" i="5"/>
  <c r="P292" i="5"/>
  <c r="P293" i="5"/>
  <c r="P294" i="5"/>
  <c r="P295" i="5"/>
  <c r="P296" i="5"/>
  <c r="P297" i="5"/>
  <c r="P298" i="5"/>
  <c r="P299" i="5"/>
  <c r="P300" i="5"/>
  <c r="P301" i="5"/>
  <c r="P302" i="5"/>
  <c r="P303" i="5"/>
  <c r="P304" i="5"/>
  <c r="P305" i="5"/>
  <c r="P285" i="5"/>
  <c r="I18" i="1" l="1"/>
  <c r="B53" i="3" l="1"/>
  <c r="B52" i="3"/>
  <c r="C53" i="3" s="1"/>
  <c r="C97" i="3" s="1"/>
  <c r="B85" i="3"/>
  <c r="C85" i="3"/>
  <c r="D85" i="3"/>
  <c r="E85" i="3"/>
  <c r="F85" i="3"/>
  <c r="G85" i="3"/>
  <c r="H85" i="3"/>
  <c r="I85" i="3"/>
  <c r="J85" i="3"/>
  <c r="K85" i="3"/>
  <c r="L85" i="3"/>
  <c r="M85" i="3"/>
  <c r="N85" i="3"/>
  <c r="O85" i="3"/>
  <c r="P85" i="3"/>
  <c r="Q85" i="3"/>
  <c r="R85" i="3"/>
  <c r="S85" i="3"/>
  <c r="T85" i="3"/>
  <c r="C84" i="3"/>
  <c r="D84" i="3"/>
  <c r="E84" i="3"/>
  <c r="F84" i="3"/>
  <c r="G84" i="3"/>
  <c r="H84" i="3"/>
  <c r="I84" i="3"/>
  <c r="J84" i="3"/>
  <c r="K84" i="3"/>
  <c r="L84" i="3"/>
  <c r="M84" i="3"/>
  <c r="N84" i="3"/>
  <c r="O84" i="3"/>
  <c r="P84" i="3"/>
  <c r="Q84" i="3"/>
  <c r="R84" i="3"/>
  <c r="S84" i="3"/>
  <c r="T84" i="3"/>
  <c r="B84" i="3"/>
  <c r="H90" i="3" l="1"/>
  <c r="G97" i="3"/>
  <c r="B89" i="3"/>
  <c r="C94" i="3"/>
  <c r="Q89" i="3"/>
  <c r="I89" i="3"/>
  <c r="S90" i="3"/>
  <c r="K90" i="3"/>
  <c r="C90" i="3"/>
  <c r="N93" i="3"/>
  <c r="F93" i="3"/>
  <c r="O94" i="3"/>
  <c r="G94" i="3"/>
  <c r="R98" i="3"/>
  <c r="J98" i="3"/>
  <c r="R97" i="3"/>
  <c r="J97" i="3"/>
  <c r="S93" i="3"/>
  <c r="O97" i="3"/>
  <c r="E89" i="3"/>
  <c r="R93" i="3"/>
  <c r="S94" i="3"/>
  <c r="K94" i="3"/>
  <c r="P89" i="3"/>
  <c r="H89" i="3"/>
  <c r="R90" i="3"/>
  <c r="J90" i="3"/>
  <c r="B90" i="3"/>
  <c r="M93" i="3"/>
  <c r="E93" i="3"/>
  <c r="N94" i="3"/>
  <c r="F94" i="3"/>
  <c r="Q98" i="3"/>
  <c r="I98" i="3"/>
  <c r="Q97" i="3"/>
  <c r="I97" i="3"/>
  <c r="O89" i="3"/>
  <c r="G89" i="3"/>
  <c r="Q90" i="3"/>
  <c r="I90" i="3"/>
  <c r="B93" i="3"/>
  <c r="L93" i="3"/>
  <c r="D93" i="3"/>
  <c r="M94" i="3"/>
  <c r="E94" i="3"/>
  <c r="P98" i="3"/>
  <c r="H98" i="3"/>
  <c r="P97" i="3"/>
  <c r="H97" i="3"/>
  <c r="O90" i="3"/>
  <c r="F97" i="3"/>
  <c r="P90" i="3"/>
  <c r="L94" i="3"/>
  <c r="G98" i="3"/>
  <c r="J93" i="3"/>
  <c r="N97" i="3"/>
  <c r="T89" i="3"/>
  <c r="L89" i="3"/>
  <c r="D89" i="3"/>
  <c r="N90" i="3"/>
  <c r="F90" i="3"/>
  <c r="Q93" i="3"/>
  <c r="I93" i="3"/>
  <c r="R94" i="3"/>
  <c r="J94" i="3"/>
  <c r="B94" i="3"/>
  <c r="M98" i="3"/>
  <c r="E98" i="3"/>
  <c r="M97" i="3"/>
  <c r="E97" i="3"/>
  <c r="F89" i="3"/>
  <c r="C93" i="3"/>
  <c r="D94" i="3"/>
  <c r="M89" i="3"/>
  <c r="N98" i="3"/>
  <c r="S89" i="3"/>
  <c r="K89" i="3"/>
  <c r="C89" i="3"/>
  <c r="M90" i="3"/>
  <c r="E90" i="3"/>
  <c r="P93" i="3"/>
  <c r="H93" i="3"/>
  <c r="Q94" i="3"/>
  <c r="I94" i="3"/>
  <c r="B97" i="3"/>
  <c r="L98" i="3"/>
  <c r="D98" i="3"/>
  <c r="L97" i="3"/>
  <c r="D97" i="3"/>
  <c r="N89" i="3"/>
  <c r="K93" i="3"/>
  <c r="O98" i="3"/>
  <c r="G90" i="3"/>
  <c r="F98" i="3"/>
  <c r="R89" i="3"/>
  <c r="J89" i="3"/>
  <c r="T90" i="3"/>
  <c r="L90" i="3"/>
  <c r="D90" i="3"/>
  <c r="O93" i="3"/>
  <c r="G93" i="3"/>
  <c r="P94" i="3"/>
  <c r="H94" i="3"/>
  <c r="B98" i="3"/>
  <c r="K98" i="3"/>
  <c r="C98" i="3"/>
  <c r="K97" i="3"/>
  <c r="P10" i="7"/>
  <c r="Q10" i="7" s="1"/>
  <c r="R10" i="7" s="1"/>
  <c r="S10" i="7" s="1"/>
  <c r="T10" i="7" s="1"/>
  <c r="U10" i="7" s="1"/>
  <c r="V10" i="7" s="1"/>
  <c r="P9" i="7"/>
  <c r="Q9" i="7" s="1"/>
  <c r="R9" i="7" s="1"/>
  <c r="S9" i="7" s="1"/>
  <c r="T9" i="7" s="1"/>
  <c r="U9" i="7" s="1"/>
  <c r="V9" i="7" s="1"/>
  <c r="P8" i="7"/>
  <c r="Q8" i="7" s="1"/>
  <c r="R8" i="7" s="1"/>
  <c r="S8" i="7" s="1"/>
  <c r="T8" i="7" s="1"/>
  <c r="U8" i="7" s="1"/>
  <c r="V8" i="7" s="1"/>
  <c r="P7" i="7"/>
  <c r="Q7" i="7" s="1"/>
  <c r="R7" i="7" s="1"/>
  <c r="S7" i="7" s="1"/>
  <c r="T7" i="7" s="1"/>
  <c r="U7" i="7" s="1"/>
  <c r="V7" i="7" s="1"/>
  <c r="P6" i="7"/>
  <c r="Q6" i="7" s="1"/>
  <c r="R6" i="7" s="1"/>
  <c r="S6" i="7" s="1"/>
  <c r="T6" i="7" s="1"/>
  <c r="U6" i="7" s="1"/>
  <c r="V6" i="7" s="1"/>
  <c r="P5" i="7"/>
  <c r="Q5" i="7" s="1"/>
  <c r="R5" i="7" s="1"/>
  <c r="S5" i="7" s="1"/>
  <c r="T5" i="7" s="1"/>
  <c r="U5" i="7" s="1"/>
  <c r="V5" i="7" s="1"/>
  <c r="P4" i="7"/>
  <c r="Q4" i="7" s="1"/>
  <c r="R4" i="7" s="1"/>
  <c r="S4" i="7" s="1"/>
  <c r="T4" i="7" s="1"/>
  <c r="U4" i="7" s="1"/>
  <c r="V4" i="7" s="1"/>
  <c r="P3" i="7"/>
  <c r="Q3" i="7" s="1"/>
  <c r="R3" i="7" s="1"/>
  <c r="S3" i="7" s="1"/>
  <c r="T3" i="7" s="1"/>
  <c r="U3" i="7" s="1"/>
  <c r="V3" i="7" s="1"/>
  <c r="P2" i="7"/>
  <c r="Q2" i="7" s="1"/>
  <c r="R2" i="7" s="1"/>
  <c r="S2" i="7" s="1"/>
  <c r="T2" i="7" s="1"/>
  <c r="U2" i="7" s="1"/>
  <c r="V2" i="7" s="1"/>
  <c r="AB167" i="5"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Eker, S. (Sibel)</author>
  </authors>
  <commentList>
    <comment ref="A39" authorId="0" shapeId="0" xr:uid="{BA359DA8-3C2D-492F-A2BC-737C774A1BED}">
      <text>
        <r>
          <rPr>
            <b/>
            <sz val="9"/>
            <color indexed="81"/>
            <rFont val="Tahoma"/>
            <family val="2"/>
          </rPr>
          <t>Eker, S. (Sibel):</t>
        </r>
        <r>
          <rPr>
            <sz val="9"/>
            <color indexed="81"/>
            <rFont val="Tahoma"/>
            <family val="2"/>
          </rPr>
          <t xml:space="preserve">
Data obtained from UN. https://population.un.org/dataportal/data/indicators/46/locations/900/start/2000/end/2000/table/pivotbylocation
Original data file : unpopulation_dataportal_20230206150804.xlsx</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tc={8D73BC33-7639-4BC1-8B27-E114AF5A791B}</author>
    <author>tc={67445E4A-9D18-41E4-9084-9F6D1D5F83CF}</author>
    <author>tc={BA1BB397-19FD-4E00-9FB4-7FA3C75049EB}</author>
    <author>tc={D1AB8DDC-036E-493A-9BDF-93707DB57430}</author>
    <author>tc={A213472A-67E0-4330-ABC0-8745E7D600F0}</author>
    <author>tc={C33086D7-D115-4F59-A228-F1B5760F5BA7}</author>
    <author>tc={6469E6E4-9CED-4E2D-A67F-9E438B2E7141}</author>
    <author>tc={86DB68AF-BD6E-4453-A799-DCE61543F169}</author>
    <author>tc={C29B622F-6171-42BF-9AA9-FBAA2EBF38E6}</author>
    <author>tc={72FD8EA1-23EB-47DF-A0AD-BE39CE39CD28}</author>
    <author>tc={0AB3D946-5340-4EE7-949D-4B67E913E289}</author>
    <author>tc={BAA2459C-3D8E-4147-A880-35AE57CB8BBB}</author>
    <author>tc={D4221F0D-5E73-4BAF-9EBC-2E714132A8A3}</author>
    <author>tc={B9FDF63C-EB68-4C3A-930F-C6984036BEFB}</author>
  </authors>
  <commentList>
    <comment ref="O49" authorId="0" shapeId="0" xr:uid="{8D73BC33-7639-4BC1-8B27-E114AF5A791B}">
      <text>
        <t>[Threaded comment]
Your version of Excel allows you to read this threaded comment; however, any edits to it will get removed if the file is opened in a newer version of Excel. Learn more: https://go.microsoft.com/fwlink/?linkid=870924
Comment:
    Modeled values from FeliX-R5</t>
      </text>
    </comment>
    <comment ref="P73" authorId="1" shapeId="0" xr:uid="{67445E4A-9D18-41E4-9084-9F6D1D5F83CF}">
      <text>
        <t>[Threaded comment]
Your version of Excel allows you to read this threaded comment; however, any edits to it will get removed if the file is opened in a newer version of Excel. Learn more: https://go.microsoft.com/fwlink/?linkid=870924
Comment:
    Scaling factor to match the regional data</t>
      </text>
    </comment>
    <comment ref="C188" authorId="2" shapeId="0" xr:uid="{BA1BB397-19FD-4E00-9FB4-7FA3C75049EB}">
      <text>
        <t>[Threaded comment]
Your version of Excel allows you to read this threaded comment; however, any edits to it will get removed if the file is opened in a newer version of Excel. Learn more: https://go.microsoft.com/fwlink/?linkid=870924
Comment:
    Current percentage of vegetarian followers</t>
      </text>
    </comment>
    <comment ref="D188" authorId="3" shapeId="0" xr:uid="{D1AB8DDC-036E-493A-9BDF-93707DB57430}">
      <text>
        <t>[Threaded comment]
Your version of Excel allows you to read this threaded comment; however, any edits to it will get removed if the file is opened in a newer version of Excel. Learn more: https://go.microsoft.com/fwlink/?linkid=870924
Comment:
    Targeting vegetarian followers</t>
      </text>
    </comment>
    <comment ref="E188" authorId="4" shapeId="0" xr:uid="{A213472A-67E0-4330-ABC0-8745E7D600F0}">
      <text>
        <t>[Threaded comment]
Your version of Excel allows you to read this threaded comment; however, any edits to it will get removed if the file is opened in a newer version of Excel. Learn more: https://go.microsoft.com/fwlink/?linkid=870924
Comment:
    Scaling factor for vegetarian followers</t>
      </text>
    </comment>
    <comment ref="F188" authorId="5" shapeId="0" xr:uid="{C33086D7-D115-4F59-A228-F1B5760F5BA7}">
      <text>
        <t>[Threaded comment]
Your version of Excel allows you to read this threaded comment; however, any edits to it will get removed if the file is opened in a newer version of Excel. Learn more: https://go.microsoft.com/fwlink/?linkid=870924
Comment:
    Scaling factor for meat-diet followers</t>
      </text>
    </comment>
    <comment ref="C235" authorId="6" shapeId="0" xr:uid="{6469E6E4-9CED-4E2D-A67F-9E438B2E7141}">
      <text>
        <t>[Threaded comment]
Your version of Excel allows you to read this threaded comment; however, any edits to it will get removed if the file is opened in a newer version of Excel. Learn more: https://go.microsoft.com/fwlink/?linkid=870924
Comment:
    Current percentage of vegetarian followers</t>
      </text>
    </comment>
    <comment ref="D235" authorId="7" shapeId="0" xr:uid="{86DB68AF-BD6E-4453-A799-DCE61543F169}">
      <text>
        <t>[Threaded comment]
Your version of Excel allows you to read this threaded comment; however, any edits to it will get removed if the file is opened in a newer version of Excel. Learn more: https://go.microsoft.com/fwlink/?linkid=870924
Comment:
    Targeting vegetarian followers</t>
      </text>
    </comment>
    <comment ref="E235" authorId="8" shapeId="0" xr:uid="{C29B622F-6171-42BF-9AA9-FBAA2EBF38E6}">
      <text>
        <t>[Threaded comment]
Your version of Excel allows you to read this threaded comment; however, any edits to it will get removed if the file is opened in a newer version of Excel. Learn more: https://go.microsoft.com/fwlink/?linkid=870924
Comment:
    Scaling factor for vegetarian followers</t>
      </text>
    </comment>
    <comment ref="F235" authorId="9" shapeId="0" xr:uid="{72FD8EA1-23EB-47DF-A0AD-BE39CE39CD28}">
      <text>
        <t>[Threaded comment]
Your version of Excel allows you to read this threaded comment; however, any edits to it will get removed if the file is opened in a newer version of Excel. Learn more: https://go.microsoft.com/fwlink/?linkid=870924
Comment:
    Scaling factor for meat-diet followers</t>
      </text>
    </comment>
    <comment ref="C282" authorId="10" shapeId="0" xr:uid="{0AB3D946-5340-4EE7-949D-4B67E913E289}">
      <text>
        <t>[Threaded comment]
Your version of Excel allows you to read this threaded comment; however, any edits to it will get removed if the file is opened in a newer version of Excel. Learn more: https://go.microsoft.com/fwlink/?linkid=870924
Comment:
    Current percentage of vegetarian followers</t>
      </text>
    </comment>
    <comment ref="D282" authorId="11" shapeId="0" xr:uid="{BAA2459C-3D8E-4147-A880-35AE57CB8BBB}">
      <text>
        <t>[Threaded comment]
Your version of Excel allows you to read this threaded comment; however, any edits to it will get removed if the file is opened in a newer version of Excel. Learn more: https://go.microsoft.com/fwlink/?linkid=870924
Comment:
    Targeting vegetarian followers</t>
      </text>
    </comment>
    <comment ref="E282" authorId="12" shapeId="0" xr:uid="{D4221F0D-5E73-4BAF-9EBC-2E714132A8A3}">
      <text>
        <t>[Threaded comment]
Your version of Excel allows you to read this threaded comment; however, any edits to it will get removed if the file is opened in a newer version of Excel. Learn more: https://go.microsoft.com/fwlink/?linkid=870924
Comment:
    Scaling factor for vegetarian followers</t>
      </text>
    </comment>
    <comment ref="F282" authorId="13" shapeId="0" xr:uid="{B9FDF63C-EB68-4C3A-930F-C6984036BEFB}">
      <text>
        <t>[Threaded comment]
Your version of Excel allows you to read this threaded comment; however, any edits to it will get removed if the file is opened in a newer version of Excel. Learn more: https://go.microsoft.com/fwlink/?linkid=870924
Comment:
    Scaling factor for meat-diet followers</t>
      </text>
    </comment>
  </commentList>
</comments>
</file>

<file path=xl/sharedStrings.xml><?xml version="1.0" encoding="utf-8"?>
<sst xmlns="http://schemas.openxmlformats.org/spreadsheetml/2006/main" count="1664" uniqueCount="419">
  <si>
    <t>Stocks</t>
  </si>
  <si>
    <t>Impact of Climate Risk on Life Expectancy</t>
  </si>
  <si>
    <t>Impact of Wealth on Health</t>
  </si>
  <si>
    <t>Capital</t>
  </si>
  <si>
    <t>OLDCapital</t>
  </si>
  <si>
    <t>Other Capital Change</t>
  </si>
  <si>
    <t>Education indexOLD</t>
  </si>
  <si>
    <t>Average Oil Production</t>
  </si>
  <si>
    <t>Cumulative Oil Production</t>
  </si>
  <si>
    <t>Effective Investment in Oil Exploration</t>
  </si>
  <si>
    <t>Effective Investment in Oil Production</t>
  </si>
  <si>
    <t>Oil Productivity of Investment</t>
  </si>
  <si>
    <t>Ratio of Oil Fraction Discoverable to Undiscoverable</t>
  </si>
  <si>
    <t>Ratio of Oil Fraction Recoverable to Unrecoverable</t>
  </si>
  <si>
    <t>Undiscovered Oil Resources</t>
  </si>
  <si>
    <t>Average Gas Production</t>
  </si>
  <si>
    <t>Cumulative Gas Production</t>
  </si>
  <si>
    <t>Effective Investment in Gas Exploration</t>
  </si>
  <si>
    <t>Effective Investment in Gas Production</t>
  </si>
  <si>
    <t>Gas Productivity of Investment</t>
  </si>
  <si>
    <t>Ratio of Gas Fraction Discoverable to Undiscoverable</t>
  </si>
  <si>
    <t>Ratio of Gas Fraction Recoverable to Unrecoverable</t>
  </si>
  <si>
    <t>Undiscovered Gas Resources</t>
  </si>
  <si>
    <t>Average Coal Production</t>
  </si>
  <si>
    <t>Coal Productivity of Investment</t>
  </si>
  <si>
    <t>Cumulative Coal Production</t>
  </si>
  <si>
    <t>Effective Investment in Coal Exploration</t>
  </si>
  <si>
    <t>Effective Investment in Coal Production</t>
  </si>
  <si>
    <t>Ratio of Coal Fraction Discoverable to Undiscoverable</t>
  </si>
  <si>
    <t>Ratio of Coal Fraction Recoverable to Unrecoverable</t>
  </si>
  <si>
    <t>Undiscovered Coal Resources</t>
  </si>
  <si>
    <t>Biomass Energy Installed Capacity</t>
  </si>
  <si>
    <t>Biomass Energy Technology Ratio</t>
  </si>
  <si>
    <t>Biomass Installation Technology Ratio</t>
  </si>
  <si>
    <t>Cumulative Biomass Energy Produced</t>
  </si>
  <si>
    <t>Cumulative Solar Energy Produced</t>
  </si>
  <si>
    <t>Solar Energy Technology Ratio</t>
  </si>
  <si>
    <t>Solar Installation Technology Ratio</t>
  </si>
  <si>
    <t>Solar Installed Capacity</t>
  </si>
  <si>
    <t>Cumulative Wind Energy Produced</t>
  </si>
  <si>
    <t>Wind Energy Technology Ratio</t>
  </si>
  <si>
    <t>Wind Installation Technology Ratio</t>
  </si>
  <si>
    <t>Wind Installed Capacity</t>
  </si>
  <si>
    <t>Average Price Biomass</t>
  </si>
  <si>
    <t>Average Price Coal</t>
  </si>
  <si>
    <t>Average Price Gas</t>
  </si>
  <si>
    <t>Average Price Oil</t>
  </si>
  <si>
    <t>Average Price Solar</t>
  </si>
  <si>
    <t>Average Price Wind</t>
  </si>
  <si>
    <t>Agricultural Land</t>
  </si>
  <si>
    <t>Forest Land</t>
  </si>
  <si>
    <t>Forest Protected Land</t>
  </si>
  <si>
    <t>Input Neutral Agriculture Technology</t>
  </si>
  <si>
    <t>Input Neutral Forest Technology</t>
  </si>
  <si>
    <t>Other Land</t>
  </si>
  <si>
    <t>Urban and Industrial Land</t>
  </si>
  <si>
    <t>C in Atmosphere</t>
  </si>
  <si>
    <t>C in Biomass</t>
  </si>
  <si>
    <t>C in Deep Ocean 1</t>
  </si>
  <si>
    <t>C in Deep Ocean 2</t>
  </si>
  <si>
    <t>C in Deep Ocean 3</t>
  </si>
  <si>
    <t>C in Deep Ocean 4</t>
  </si>
  <si>
    <t>C in Humus</t>
  </si>
  <si>
    <t>C in Mixed Layer</t>
  </si>
  <si>
    <t>CCS Improvement</t>
  </si>
  <si>
    <t>Heat in Atmosphere and Upper Ocean</t>
  </si>
  <si>
    <t>Heat in Deep Ocean 1</t>
  </si>
  <si>
    <t>Heat in Deep Ocean 2</t>
  </si>
  <si>
    <t>Heat in Deep Ocean 3</t>
  </si>
  <si>
    <t>Heat in Deep Ocean 4</t>
  </si>
  <si>
    <t>Reliable Water Supply</t>
  </si>
  <si>
    <t>Mean Species Abundance</t>
  </si>
  <si>
    <t>Nitrogen</t>
  </si>
  <si>
    <t>Phosphate Rock Proven Reserves</t>
  </si>
  <si>
    <t>Phosphorus</t>
  </si>
  <si>
    <t>Climate Events in Memory</t>
  </si>
  <si>
    <t>Initial DemSup Ratio Land</t>
  </si>
  <si>
    <t>Cropland Yield</t>
  </si>
  <si>
    <t>Demand Supply ratio of Agricultural Land</t>
  </si>
  <si>
    <t>Pasture Land Allocated for Animal Food Production</t>
  </si>
  <si>
    <t>Initial Grassland</t>
  </si>
  <si>
    <t>Arable Land Allocated for Animal Calories</t>
  </si>
  <si>
    <t>Initial Arable Land for Feed Crops</t>
  </si>
  <si>
    <t>Arable Land Allocated for Other Crops</t>
  </si>
  <si>
    <t>Initial Arable Land for Other Crops</t>
  </si>
  <si>
    <t>Arable Land Allocated for Plant Proteins</t>
  </si>
  <si>
    <t>Initial Arable Land for Plant Proteins</t>
  </si>
  <si>
    <t>Estimated Agricultural Land Discrepancy</t>
  </si>
  <si>
    <t>Initial Estimated Agr Land Discrepancy</t>
  </si>
  <si>
    <t>0 to 04</t>
  </si>
  <si>
    <t>05 to 09</t>
  </si>
  <si>
    <t>10 to 14</t>
  </si>
  <si>
    <t>15 to 19</t>
  </si>
  <si>
    <t>20 to 24</t>
  </si>
  <si>
    <t>25 to 29</t>
  </si>
  <si>
    <t>30 to 34</t>
  </si>
  <si>
    <t>35 to 39</t>
  </si>
  <si>
    <t>40 to 44</t>
  </si>
  <si>
    <t>45 to 49</t>
  </si>
  <si>
    <t>50 to 54</t>
  </si>
  <si>
    <t>55 to 59</t>
  </si>
  <si>
    <t>60 to 64</t>
  </si>
  <si>
    <t>65 to 69</t>
  </si>
  <si>
    <t>70 to 74</t>
  </si>
  <si>
    <t>75 to 79</t>
  </si>
  <si>
    <t>80 to 84</t>
  </si>
  <si>
    <t>85 to 89</t>
  </si>
  <si>
    <t>90 to 94</t>
  </si>
  <si>
    <t>95 to 99</t>
  </si>
  <si>
    <t>100 Plus</t>
  </si>
  <si>
    <t>Male</t>
  </si>
  <si>
    <t>Female</t>
  </si>
  <si>
    <t>PRIMARY</t>
  </si>
  <si>
    <t>secondary</t>
  </si>
  <si>
    <t>SECONDARY</t>
  </si>
  <si>
    <t>TERTIARY</t>
  </si>
  <si>
    <t>MODEL</t>
  </si>
  <si>
    <t>DATA</t>
  </si>
  <si>
    <t>2015 DATA</t>
  </si>
  <si>
    <t>2015 WITTGENSTEIN DATA</t>
  </si>
  <si>
    <t>MEAT</t>
  </si>
  <si>
    <t>noEd</t>
  </si>
  <si>
    <t>primary</t>
  </si>
  <si>
    <t>tertiary</t>
  </si>
  <si>
    <t>0 to 4</t>
  </si>
  <si>
    <t>5 to 9</t>
  </si>
  <si>
    <t>VEGETARIAN</t>
  </si>
  <si>
    <t>Model Input</t>
  </si>
  <si>
    <t>INIT BIC</t>
  </si>
  <si>
    <t>INIT BETRN</t>
  </si>
  <si>
    <t>INIT BITRN</t>
  </si>
  <si>
    <t>INIT Cumulative Biomass Produced</t>
  </si>
  <si>
    <t>INIT Cumulative Solar Produced</t>
  </si>
  <si>
    <t>INIT SETRN</t>
  </si>
  <si>
    <t>INIT SITRN</t>
  </si>
  <si>
    <t>INIT SIC</t>
  </si>
  <si>
    <t>INIT Cumulative Wind Produced</t>
  </si>
  <si>
    <t>INIT WETRN</t>
  </si>
  <si>
    <t>INIT WITRN</t>
  </si>
  <si>
    <t>INIT WIC</t>
  </si>
  <si>
    <t>INIT APB</t>
  </si>
  <si>
    <t>INIT APC</t>
  </si>
  <si>
    <t>INIT APG</t>
  </si>
  <si>
    <t>INIT APO</t>
  </si>
  <si>
    <t>INIT APS</t>
  </si>
  <si>
    <t>INIT APW</t>
  </si>
  <si>
    <t>INIT Agricultural Land</t>
  </si>
  <si>
    <t>INIT Forest Land</t>
  </si>
  <si>
    <t>INIT Forest Protected Land</t>
  </si>
  <si>
    <t>INIT Other Land</t>
  </si>
  <si>
    <t>INIT Urban and Industrial Land</t>
  </si>
  <si>
    <t>INIT C in Biomass</t>
  </si>
  <si>
    <t>INIT C in Atmosphere 2016</t>
  </si>
  <si>
    <t>INIT C in Deep Ocean 1</t>
  </si>
  <si>
    <t>INIT C in Deep Ocean 2</t>
  </si>
  <si>
    <t>INIT C in Deep Ocean 3</t>
  </si>
  <si>
    <t>INIT C in Deep Ocean 4</t>
  </si>
  <si>
    <t>INIT C in Humus</t>
  </si>
  <si>
    <t>INIT Reliable Water Supply</t>
  </si>
  <si>
    <t>INIT C in Mixed Ocean</t>
  </si>
  <si>
    <t>INIT Phosphorus</t>
  </si>
  <si>
    <t>Initial Labor Force[male]</t>
  </si>
  <si>
    <t>Initial Labor Force[female]</t>
  </si>
  <si>
    <t>Change in Market Share Biomass</t>
  </si>
  <si>
    <t>Change in Market Share Coal</t>
  </si>
  <si>
    <t>Change in Market Share Gas</t>
  </si>
  <si>
    <t>Change in Market Share Oil</t>
  </si>
  <si>
    <t>Change in Market Share Solar</t>
  </si>
  <si>
    <t>Change in Market Share Wind</t>
  </si>
  <si>
    <t>INIT CMS Biomass</t>
  </si>
  <si>
    <t>INIT CMS Coal</t>
  </si>
  <si>
    <t>INIT CMS Gas</t>
  </si>
  <si>
    <t>INIT CMS Oil</t>
  </si>
  <si>
    <t>INIT CMS Solar</t>
  </si>
  <si>
    <t>INIT CMS Wind</t>
  </si>
  <si>
    <t>INIT UORN</t>
  </si>
  <si>
    <t>INIT UGRN</t>
  </si>
  <si>
    <t>INIT UCRN</t>
  </si>
  <si>
    <t>Life exp</t>
  </si>
  <si>
    <t>70 mortality</t>
  </si>
  <si>
    <t>Shift</t>
  </si>
  <si>
    <t>Initial Impact of Climate on Life Expectancy</t>
  </si>
  <si>
    <t>Initial Impact of Wealth on Health</t>
  </si>
  <si>
    <t>INIT Capital</t>
  </si>
  <si>
    <t>OLDINIT Capital</t>
  </si>
  <si>
    <t>INIT Other Capital Change</t>
  </si>
  <si>
    <t>INIT Educational Attainment</t>
  </si>
  <si>
    <t>INIT Average Oil Production</t>
  </si>
  <si>
    <t>INIT COPN</t>
  </si>
  <si>
    <t>INIT CGPN</t>
  </si>
  <si>
    <t>INIT EIOE</t>
  </si>
  <si>
    <t>INIT EIOP</t>
  </si>
  <si>
    <t>INIT OPI</t>
  </si>
  <si>
    <t>INIT EIGE</t>
  </si>
  <si>
    <t>INIT EICP</t>
  </si>
  <si>
    <t>INIT RODU</t>
  </si>
  <si>
    <t>INIT RORU</t>
  </si>
  <si>
    <t>INIT RGDU</t>
  </si>
  <si>
    <t>INIT RGRU</t>
  </si>
  <si>
    <t>INIT Average Gas Production</t>
  </si>
  <si>
    <t>INIT EIGP</t>
  </si>
  <si>
    <t>INIT GPI</t>
  </si>
  <si>
    <t>INIT Average Coal Production</t>
  </si>
  <si>
    <t>INIT CPI</t>
  </si>
  <si>
    <t>INIT CCPN</t>
  </si>
  <si>
    <t>INIT EICE</t>
  </si>
  <si>
    <t>INIT RCDU</t>
  </si>
  <si>
    <t>INIT RCRU</t>
  </si>
  <si>
    <t>INIT INAT</t>
  </si>
  <si>
    <t>INIT Input Neutral TC in Forest</t>
  </si>
  <si>
    <t>INIT CCS Improvement</t>
  </si>
  <si>
    <t>INIT Climate Events in Memory</t>
  </si>
  <si>
    <t>Initial Labor Force 1900</t>
  </si>
  <si>
    <t>Initial Value Parameter</t>
  </si>
  <si>
    <t>MODEL INPUT</t>
  </si>
  <si>
    <t>MODEL INPUTS</t>
  </si>
  <si>
    <t>IIASA SSP DATA</t>
  </si>
  <si>
    <t>IIASA SSP DATA 2016</t>
  </si>
  <si>
    <t>GET XLS CONSTANTS('InitialValues.xlsx','Stocks','F2')</t>
  </si>
  <si>
    <t>GET XLS CONSTANTS('InitialValues.xlsx','Stocks','F3')</t>
  </si>
  <si>
    <t>GET XLS CONSTANTS('InitialValues.xlsx','Stocks','F4')</t>
  </si>
  <si>
    <t>GET XLS CONSTANTS('InitialValues.xlsx','Stocks','F5')</t>
  </si>
  <si>
    <t>GET XLS CONSTANTS('InitialValues.xlsx','Stocks','F6')</t>
  </si>
  <si>
    <t>GET XLS CONSTANTS('InitialValues.xlsx','Stocks','F7')</t>
  </si>
  <si>
    <t>GET XLS CONSTANTS('InitialValues.xlsx','Stocks','F8')</t>
  </si>
  <si>
    <t>GET XLS CONSTANTS('InitialValues.xlsx','Stocks','F9')</t>
  </si>
  <si>
    <t>GET XLS CONSTANTS('InitialValues.xlsx','Stocks','F10')</t>
  </si>
  <si>
    <t>GET XLS CONSTANTS('InitialValues.xlsx','Stocks','F11')</t>
  </si>
  <si>
    <t>GET XLS CONSTANTS('InitialValues.xlsx','Stocks','F12')</t>
  </si>
  <si>
    <t>GET XLS CONSTANTS('InitialValues.xlsx','Stocks','F13')</t>
  </si>
  <si>
    <t>GET XLS CONSTANTS('InitialValues.xlsx','Stocks','F14')</t>
  </si>
  <si>
    <t>GET XLS CONSTANTS('InitialValues.xlsx','Stocks','F15')</t>
  </si>
  <si>
    <t>GET XLS CONSTANTS('InitialValues.xlsx','Stocks','F16')</t>
  </si>
  <si>
    <t>GET XLS CONSTANTS('InitialValues.xlsx','Stocks','F17')</t>
  </si>
  <si>
    <t>GET XLS CONSTANTS('InitialValues.xlsx','Stocks','F18')</t>
  </si>
  <si>
    <t>GET XLS CONSTANTS('InitialValues.xlsx','Stocks','F19')</t>
  </si>
  <si>
    <t>GET XLS CONSTANTS('InitialValues.xlsx','Stocks','F20')</t>
  </si>
  <si>
    <t>GET XLS CONSTANTS('InitialValues.xlsx','Stocks','F21')</t>
  </si>
  <si>
    <t>GET XLS CONSTANTS('InitialValues.xlsx','Stocks','F22')</t>
  </si>
  <si>
    <t>GET XLS CONSTANTS('InitialValues.xlsx','Stocks','F23')</t>
  </si>
  <si>
    <t>GET XLS CONSTANTS('InitialValues.xlsx','Stocks','F24')</t>
  </si>
  <si>
    <t>GET XLS CONSTANTS('InitialValues.xlsx','Stocks','F25')</t>
  </si>
  <si>
    <t>GET XLS CONSTANTS('InitialValues.xlsx','Stocks','F26')</t>
  </si>
  <si>
    <t>GET XLS CONSTANTS('InitialValues.xlsx','Stocks','F27')</t>
  </si>
  <si>
    <t>GET XLS CONSTANTS('InitialValues.xlsx','Stocks','F28')</t>
  </si>
  <si>
    <t>GET XLS CONSTANTS('InitialValues.xlsx','Stocks','F29')</t>
  </si>
  <si>
    <t>GET XLS CONSTANTS('InitialValues.xlsx','Stocks','F30')</t>
  </si>
  <si>
    <t>GET XLS CONSTANTS('InitialValues.xlsx','Stocks','F31')</t>
  </si>
  <si>
    <t>GET XLS CONSTANTS('InitialValues.xlsx','Stocks','F32')</t>
  </si>
  <si>
    <t>GET XLS CONSTANTS('InitialValues.xlsx','Stocks','F33')</t>
  </si>
  <si>
    <t>GET XLS CONSTANTS('InitialValues.xlsx','Stocks','F34')</t>
  </si>
  <si>
    <t>GET XLS CONSTANTS('InitialValues.xlsx','Stocks','F35')</t>
  </si>
  <si>
    <t>GET XLS CONSTANTS('InitialValues.xlsx','Stocks','F36')</t>
  </si>
  <si>
    <t>GET XLS CONSTANTS('InitialValues.xlsx','Stocks','F37')</t>
  </si>
  <si>
    <t>GET XLS CONSTANTS('InitialValues.xlsx','Stocks','F38')</t>
  </si>
  <si>
    <t>GET XLS CONSTANTS('InitialValues.xlsx','Stocks','F39')</t>
  </si>
  <si>
    <t>GET XLS CONSTANTS('InitialValues.xlsx','Stocks','F40')</t>
  </si>
  <si>
    <t>GET XLS CONSTANTS('InitialValues.xlsx','Stocks','F41')</t>
  </si>
  <si>
    <t>GET XLS CONSTANTS('InitialValues.xlsx','Stocks','F42')</t>
  </si>
  <si>
    <t>GET XLS CONSTANTS('InitialValues.xlsx','Stocks','F43')</t>
  </si>
  <si>
    <t>GET XLS CONSTANTS('InitialValues.xlsx','Stocks','F44')</t>
  </si>
  <si>
    <t>GET XLS CONSTANTS('InitialValues.xlsx','Stocks','F45')</t>
  </si>
  <si>
    <t>GET XLS CONSTANTS('InitialValues.xlsx','Stocks','F46')</t>
  </si>
  <si>
    <t>GET XLS CONSTANTS('InitialValues.xlsx','Stocks','F47')</t>
  </si>
  <si>
    <t>GET XLS CONSTANTS('InitialValues.xlsx','Stocks','F48')</t>
  </si>
  <si>
    <t>GET XLS CONSTANTS('InitialValues.xlsx','Stocks','F49')</t>
  </si>
  <si>
    <t>GET XLS CONSTANTS('InitialValues.xlsx','Stocks','F50')</t>
  </si>
  <si>
    <t>GET XLS CONSTANTS('InitialValues.xlsx','Stocks','F51')</t>
  </si>
  <si>
    <t>GET XLS CONSTANTS('InitialValues.xlsx','Stocks','F52')</t>
  </si>
  <si>
    <t>GET XLS CONSTANTS('InitialValues.xlsx','Stocks','F53')</t>
  </si>
  <si>
    <t>GET XLS CONSTANTS('InitialValues.xlsx','Stocks','F54')</t>
  </si>
  <si>
    <t>GET XLS CONSTANTS('InitialValues.xlsx','Stocks','F55')</t>
  </si>
  <si>
    <t>GET XLS CONSTANTS('InitialValues.xlsx','Stocks','F56')</t>
  </si>
  <si>
    <t>GET XLS CONSTANTS('InitialValues.xlsx','Stocks','F57')</t>
  </si>
  <si>
    <t>GET XLS CONSTANTS('InitialValues.xlsx','Stocks','F58')</t>
  </si>
  <si>
    <t>GET XLS CONSTANTS('InitialValues.xlsx','Stocks','F59')</t>
  </si>
  <si>
    <t>GET XLS CONSTANTS('InitialValues.xlsx','Stocks','F60')</t>
  </si>
  <si>
    <t>GET XLS CONSTANTS('InitialValues.xlsx','Stocks','F61')</t>
  </si>
  <si>
    <t>GET XLS CONSTANTS('InitialValues.xlsx','Stocks','F62')</t>
  </si>
  <si>
    <t>GET XLS CONSTANTS('InitialValues.xlsx','Stocks','F63')</t>
  </si>
  <si>
    <t>GET XLS CONSTANTS('InitialValues.xlsx','Stocks','F64')</t>
  </si>
  <si>
    <t>GET XLS CONSTANTS('InitialValues.xlsx','Stocks','F65')</t>
  </si>
  <si>
    <t>GET XLS CONSTANTS('InitialValues.xlsx','Stocks','F66')</t>
  </si>
  <si>
    <t>GET XLS CONSTANTS('InitialValues.xlsx','Stocks','F67')</t>
  </si>
  <si>
    <t>GET XLS CONSTANTS('InitialValues.xlsx','Stocks','F68')</t>
  </si>
  <si>
    <t>GET XLS CONSTANTS('InitialValues.xlsx','Stocks','F69')</t>
  </si>
  <si>
    <t>GET XLS CONSTANTS('InitialValues.xlsx','Stocks','F70')</t>
  </si>
  <si>
    <t>GET XLS CONSTANTS('InitialValues.xlsx','Stocks','F71')</t>
  </si>
  <si>
    <t>GET XLS CONSTANTS('InitialValues.xlsx','Stocks','F72')</t>
  </si>
  <si>
    <t>GET XLS CONSTANTS('InitialValues.xlsx','Stocks','F73')</t>
  </si>
  <si>
    <t>GET XLS CONSTANTS('InitialValues.xlsx','Stocks','F74')</t>
  </si>
  <si>
    <t>GET XLS CONSTANTS('InitialValues.xlsx','Stocks','F75')</t>
  </si>
  <si>
    <t>GET XLS CONSTANTS('InitialValues.xlsx','Stocks','F76')</t>
  </si>
  <si>
    <t>GET XLS CONSTANTS('InitialValues.xlsx','Stocks','F77')</t>
  </si>
  <si>
    <t>GET XLS CONSTANTS('InitialValues.xlsx','Stocks','F78')</t>
  </si>
  <si>
    <t>GET XLS CONSTANTS('InitialValues.xlsx','Stocks','F79')</t>
  </si>
  <si>
    <t>GET XLS CONSTANTS('InitialValues.xlsx','Stocks','F80')</t>
  </si>
  <si>
    <t>GET XLS CONSTANTS('InitialValues.xlsx','Stocks','F81')</t>
  </si>
  <si>
    <t>GET XLS CONSTANTS('InitialValues.xlsx','Stocks','F82')</t>
  </si>
  <si>
    <t>GET XLS CONSTANTS('InitialValues.xlsx','Stocks','F83')</t>
  </si>
  <si>
    <t>GET XLS CONSTANTS('InitialValues.xlsx','Stocks','F84')</t>
  </si>
  <si>
    <t>GET XLS CONSTANTS('InitialValues.xlsx','Stocks','F85')</t>
  </si>
  <si>
    <t>GET XLS CONSTANTS('InitialValues.xlsx','Stocks','F86')</t>
  </si>
  <si>
    <t>GET XLS CONSTANTS('InitialValues.xlsx','Stocks','F87')</t>
  </si>
  <si>
    <t>GET XLS CONSTANTS('InitialValues.xlsx','Stocks','F88')</t>
  </si>
  <si>
    <t>GET XLS CONSTANTS('InitialValues.xlsx','Stocks','F89')</t>
  </si>
  <si>
    <t>GET XLS CONSTANTS('InitialValues.xlsx','Stocks','F90')</t>
  </si>
  <si>
    <t>GET XLS CONSTANTS('InitialValues.xlsx','Stocks','F91')</t>
  </si>
  <si>
    <t>INIT Deep Ocean 1 Temperature</t>
  </si>
  <si>
    <t>INIT Deep Ocean 2 Temperature</t>
  </si>
  <si>
    <t>INIT Deep Ocean 3 Temperature</t>
  </si>
  <si>
    <t>INIT Deep Ocean 4 Temperature</t>
  </si>
  <si>
    <t>INIT Atmospheric and Upper Ocean Temperature</t>
  </si>
  <si>
    <t>INIT Species Abundance</t>
  </si>
  <si>
    <t>INIT Mobile Nitrogen</t>
  </si>
  <si>
    <t>INIT P proven reserves</t>
  </si>
  <si>
    <t>INIT Crop Yield</t>
  </si>
  <si>
    <t>Model Input Equation</t>
  </si>
  <si>
    <t>OLD MODEL INPUT</t>
  </si>
  <si>
    <t>OLD MODEL INPUTS</t>
  </si>
  <si>
    <t>Actual values in 2020</t>
  </si>
  <si>
    <t>s</t>
  </si>
  <si>
    <t>Mortality fraction[female,"0-4"]</t>
  </si>
  <si>
    <t>Mortality fraction[female,"5-9"]</t>
  </si>
  <si>
    <t>Mortality fraction[female,"10-14"]</t>
  </si>
  <si>
    <t>Mortality fraction[female,"15-19"]</t>
  </si>
  <si>
    <t>Mortality fraction[female,"20-24"]</t>
  </si>
  <si>
    <t>Mortality fraction[female,"25-29"]</t>
  </si>
  <si>
    <t>Mortality fraction[female,"30-34"]</t>
  </si>
  <si>
    <t>Mortality fraction[female,"35-39"]</t>
  </si>
  <si>
    <t>Mortality fraction[female,"40-44"]</t>
  </si>
  <si>
    <t>Mortality fraction[female,"45-49"]</t>
  </si>
  <si>
    <t>Mortality fraction[female,"50-54"]</t>
  </si>
  <si>
    <t>Mortality fraction[female,"55-59"]</t>
  </si>
  <si>
    <t>Mortality fraction[female,"60-64"]</t>
  </si>
  <si>
    <t>Mortality fraction[female,"65-69"]</t>
  </si>
  <si>
    <t>Mortality fraction[female,"70-74"]</t>
  </si>
  <si>
    <t>Mortality fraction[female,"75-79"]</t>
  </si>
  <si>
    <t>Mortality fraction[female,"80-84"]</t>
  </si>
  <si>
    <t>Mortality fraction[female,"85-89"]</t>
  </si>
  <si>
    <t>Mortality fraction[female,"90-94"]</t>
  </si>
  <si>
    <t>Mortality fraction[female,"95-99"]</t>
  </si>
  <si>
    <t>Mortality fraction[female,"100+"]</t>
  </si>
  <si>
    <t>Mortality fraction[male,"0-4"]</t>
  </si>
  <si>
    <t>Mortality fraction[male,"5-9"]</t>
  </si>
  <si>
    <t>Mortality fraction[male,"10-14"]</t>
  </si>
  <si>
    <t>Mortality fraction[male,"15-19"]</t>
  </si>
  <si>
    <t>Mortality fraction[male,"20-24"]</t>
  </si>
  <si>
    <t>Mortality fraction[male,"25-29"]</t>
  </si>
  <si>
    <t>Mortality fraction[male,"30-34"]</t>
  </si>
  <si>
    <t>Mortality fraction[male,"35-39"]</t>
  </si>
  <si>
    <t>Mortality fraction[male,"40-44"]</t>
  </si>
  <si>
    <t>Mortality fraction[male,"45-49"]</t>
  </si>
  <si>
    <t>Mortality fraction[male,"50-54"]</t>
  </si>
  <si>
    <t>Mortality fraction[male,"55-59"]</t>
  </si>
  <si>
    <t>Mortality fraction[male,"60-64"]</t>
  </si>
  <si>
    <t>Mortality fraction[male,"65-69"]</t>
  </si>
  <si>
    <t>Mortality fraction[male,"70-74"]</t>
  </si>
  <si>
    <t>Mortality fraction[male,"75-79"]</t>
  </si>
  <si>
    <t>Mortality fraction[male,"80-84"]</t>
  </si>
  <si>
    <t>Mortality fraction[male,"85-89"]</t>
  </si>
  <si>
    <t>Mortality fraction[male,"90-94"]</t>
  </si>
  <si>
    <t>Mortality fraction[male,"95-99"]</t>
  </si>
  <si>
    <t>Mortality fraction[male,"100+"]</t>
  </si>
  <si>
    <t>MODEL INPUTS -- adjusted to have ~37% of world population with min primary education in 1900</t>
  </si>
  <si>
    <t>male0-4</t>
  </si>
  <si>
    <t>male5-9</t>
  </si>
  <si>
    <t>male10-14</t>
  </si>
  <si>
    <t>male15-19</t>
  </si>
  <si>
    <t>male20-24</t>
  </si>
  <si>
    <t>male25-29</t>
  </si>
  <si>
    <t>male30-34</t>
  </si>
  <si>
    <t>male35-39</t>
  </si>
  <si>
    <t>male40-44</t>
  </si>
  <si>
    <t>male45-49</t>
  </si>
  <si>
    <t>male50-54</t>
  </si>
  <si>
    <t>male55-59</t>
  </si>
  <si>
    <t>male60-64</t>
  </si>
  <si>
    <t>male65-69</t>
  </si>
  <si>
    <t>male70-74</t>
  </si>
  <si>
    <t>male75-79</t>
  </si>
  <si>
    <t>male80-84</t>
  </si>
  <si>
    <t>male85-89</t>
  </si>
  <si>
    <t>male90-94</t>
  </si>
  <si>
    <t>male95-99</t>
  </si>
  <si>
    <t>male100+</t>
  </si>
  <si>
    <t>M0</t>
  </si>
  <si>
    <t>L</t>
  </si>
  <si>
    <t>K</t>
  </si>
  <si>
    <t>X0</t>
  </si>
  <si>
    <t>female0-4</t>
  </si>
  <si>
    <t>female5-9</t>
  </si>
  <si>
    <t>female10-14</t>
  </si>
  <si>
    <t>female15-19</t>
  </si>
  <si>
    <t>female20-24</t>
  </si>
  <si>
    <t>female25-29</t>
  </si>
  <si>
    <t>female30-34</t>
  </si>
  <si>
    <t>female35-39</t>
  </si>
  <si>
    <t>female40-44</t>
  </si>
  <si>
    <t>female45-49</t>
  </si>
  <si>
    <t>female50-54</t>
  </si>
  <si>
    <t>female55-59</t>
  </si>
  <si>
    <t>female60-64</t>
  </si>
  <si>
    <t>female65-69</t>
  </si>
  <si>
    <t>female70-74</t>
  </si>
  <si>
    <t>female75-79</t>
  </si>
  <si>
    <t>female80-84</t>
  </si>
  <si>
    <t>female85-89</t>
  </si>
  <si>
    <t>female90-94</t>
  </si>
  <si>
    <t>female95-99</t>
  </si>
  <si>
    <t>female100+</t>
  </si>
  <si>
    <t>Global 1900</t>
  </si>
  <si>
    <t>Global 1960</t>
  </si>
  <si>
    <t>Global 2016</t>
  </si>
  <si>
    <t>Africa 1900</t>
  </si>
  <si>
    <t>WestEu 1900</t>
  </si>
  <si>
    <t>LAC 1900</t>
  </si>
  <si>
    <t>EastEu 1900</t>
  </si>
  <si>
    <t>AsiaPacific 1900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</si>
</sst>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00000"/>
    <numFmt numFmtId="165" formatCode="0.0000"/>
    <numFmt numFmtId="166" formatCode="0.000"/>
    <numFmt numFmtId="167" formatCode="0.00000"/>
  </numFmts>
  <fonts count="44">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65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
      <b/>
      <sz val="14"/>
      <color theme="1"/>
      <name val="Calibri"/>
      <family val="2"/>
      <scheme val="minor"/>
    </font>
    <font>
      <b/>
      <sz val="12"/>
      <color theme="1"/>
      <name val="Calibri"/>
      <family val="2"/>
      <scheme val="minor"/>
    </font>
    <font>
      <sz val="9"/>
      <color indexed="81"/>
      <name val="Tahoma"/>
      <family val="2"/>
    </font>
    <font>
      <b/>
      <sz val="9"/>
      <color indexed="81"/>
      <name val="Tahoma"/>
      <family val="2"/>
    </font>
    <font>
      <b/>
      <sz val="11"/>
      <name val="Calibri"/>
      <family val="2"/>
    </font>
    <font>
      <sz val="9"/>
      <name val="Calibri"/>
      <family val="3"/>
      <charset val="134"/>
      <scheme val="minor"/>
    </font>
    <font>
      <sz val="11"/>
      <color theme="1"/>
      <name val="Calibri"/>
      <family val="2"/>
      <charset val="134"/>
      <scheme val="minor"/>
    </font>
    <font>
      <sz val="18"/>
      <color theme="3"/>
      <name val="Calibri Light"/>
      <family val="2"/>
      <charset val="134"/>
      <scheme val="major"/>
    </font>
    <font>
      <b/>
      <sz val="15"/>
      <color theme="3"/>
      <name val="Calibri"/>
      <family val="2"/>
      <charset val="134"/>
      <scheme val="minor"/>
    </font>
    <font>
      <b/>
      <sz val="13"/>
      <color theme="3"/>
      <name val="Calibri"/>
      <family val="2"/>
      <charset val="134"/>
      <scheme val="minor"/>
    </font>
    <font>
      <b/>
      <sz val="11"/>
      <color theme="3"/>
      <name val="Calibri"/>
      <family val="2"/>
      <charset val="134"/>
      <scheme val="minor"/>
    </font>
    <font>
      <sz val="11"/>
      <color rgb="FF006100"/>
      <name val="Calibri"/>
      <family val="2"/>
      <charset val="134"/>
      <scheme val="minor"/>
    </font>
    <font>
      <sz val="11"/>
      <color rgb="FF9C0006"/>
      <name val="Calibri"/>
      <family val="2"/>
      <charset val="134"/>
      <scheme val="minor"/>
    </font>
    <font>
      <sz val="11"/>
      <color rgb="FF9C5700"/>
      <name val="Calibri"/>
      <family val="2"/>
      <charset val="134"/>
      <scheme val="minor"/>
    </font>
    <font>
      <sz val="11"/>
      <color rgb="FF3F3F76"/>
      <name val="Calibri"/>
      <family val="2"/>
      <charset val="134"/>
      <scheme val="minor"/>
    </font>
    <font>
      <b/>
      <sz val="11"/>
      <color rgb="FF3F3F3F"/>
      <name val="Calibri"/>
      <family val="2"/>
      <charset val="134"/>
      <scheme val="minor"/>
    </font>
    <font>
      <b/>
      <sz val="11"/>
      <color rgb="FFFA7D00"/>
      <name val="Calibri"/>
      <family val="2"/>
      <charset val="134"/>
      <scheme val="minor"/>
    </font>
    <font>
      <sz val="11"/>
      <color rgb="FFFA7D00"/>
      <name val="Calibri"/>
      <family val="2"/>
      <charset val="134"/>
      <scheme val="minor"/>
    </font>
    <font>
      <b/>
      <sz val="11"/>
      <color theme="0"/>
      <name val="Calibri"/>
      <family val="2"/>
      <charset val="134"/>
      <scheme val="minor"/>
    </font>
    <font>
      <sz val="11"/>
      <color rgb="FFFF0000"/>
      <name val="Calibri"/>
      <family val="2"/>
      <charset val="134"/>
      <scheme val="minor"/>
    </font>
    <font>
      <i/>
      <sz val="11"/>
      <color rgb="FF7F7F7F"/>
      <name val="Calibri"/>
      <family val="2"/>
      <charset val="134"/>
      <scheme val="minor"/>
    </font>
    <font>
      <b/>
      <sz val="11"/>
      <color theme="1"/>
      <name val="Calibri"/>
      <family val="2"/>
      <charset val="134"/>
      <scheme val="minor"/>
    </font>
    <font>
      <sz val="11"/>
      <color theme="0"/>
      <name val="Calibri"/>
      <family val="2"/>
      <charset val="134"/>
      <scheme val="minor"/>
    </font>
    <font>
      <sz val="11"/>
      <color theme="1"/>
      <name val="Times New Roman"/>
      <family val="1"/>
    </font>
    <font>
      <sz val="11"/>
      <color rgb="FF9C5700"/>
      <name val="Calibri"/>
      <family val="2"/>
      <scheme val="minor"/>
    </font>
    <font>
      <sz val="9"/>
      <color indexed="81"/>
      <name val="Tahoma"/>
      <charset val="1"/>
    </font>
  </fonts>
  <fills count="44">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5" tint="0.39997558519241921"/>
        <bgColor indexed="64"/>
      </patternFill>
    </fill>
    <fill>
      <patternFill patternType="solid">
        <fgColor rgb="FF92D050"/>
        <bgColor indexed="64"/>
      </patternFill>
    </fill>
    <fill>
      <patternFill patternType="solid">
        <fgColor rgb="FFFFC000"/>
        <bgColor indexed="64"/>
      </patternFill>
    </fill>
    <fill>
      <patternFill patternType="solid">
        <fgColor rgb="FF00B0F0"/>
        <bgColor indexed="64"/>
      </patternFill>
    </fill>
    <fill>
      <patternFill patternType="solid">
        <fgColor rgb="FFFFFF00"/>
        <bgColor indexed="64"/>
      </patternFill>
    </fill>
    <fill>
      <patternFill patternType="solid">
        <fgColor theme="9" tint="0.59999389629810485"/>
        <bgColor indexed="64"/>
      </patternFill>
    </fill>
    <fill>
      <patternFill patternType="solid">
        <fgColor theme="1"/>
        <bgColor indexed="64"/>
      </patternFill>
    </fill>
    <fill>
      <patternFill patternType="solid">
        <fgColor theme="0"/>
        <bgColor indexed="64"/>
      </patternFill>
    </fill>
    <fill>
      <patternFill patternType="solid">
        <fgColor rgb="FFCC66FF"/>
        <bgColor indexed="64"/>
      </patternFill>
    </fill>
    <fill>
      <patternFill patternType="solid">
        <fgColor rgb="FFFF7C80"/>
        <bgColor indexed="64"/>
      </patternFill>
    </fill>
    <fill>
      <patternFill patternType="solid">
        <fgColor rgb="FFC00000"/>
        <bgColor indexed="64"/>
      </patternFill>
    </fill>
  </fills>
  <borders count="35">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top/>
      <bottom/>
      <diagonal/>
    </border>
    <border>
      <left/>
      <right/>
      <top/>
      <bottom style="thin">
        <color indexed="64"/>
      </bottom>
      <diagonal/>
    </border>
    <border>
      <left style="medium">
        <color indexed="64"/>
      </left>
      <right style="medium">
        <color indexed="64"/>
      </right>
      <top style="medium">
        <color indexed="64"/>
      </top>
      <bottom style="medium">
        <color indexed="64"/>
      </bottom>
      <diagonal/>
    </border>
    <border>
      <left/>
      <right style="medium">
        <color indexed="64"/>
      </right>
      <top/>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medium">
        <color indexed="64"/>
      </right>
      <top/>
      <bottom style="thin">
        <color indexed="64"/>
      </bottom>
      <diagonal/>
    </border>
    <border>
      <left style="thin">
        <color indexed="64"/>
      </left>
      <right style="thin">
        <color indexed="64"/>
      </right>
      <top style="thin">
        <color indexed="64"/>
      </top>
      <bottom style="medium">
        <color indexed="64"/>
      </bottom>
      <diagonal/>
    </border>
    <border>
      <left style="thin">
        <color indexed="64"/>
      </left>
      <right style="thin">
        <color indexed="64"/>
      </right>
      <top/>
      <bottom style="medium">
        <color indexed="64"/>
      </bottom>
      <diagonal/>
    </border>
    <border>
      <left style="thin">
        <color indexed="64"/>
      </left>
      <right style="medium">
        <color indexed="64"/>
      </right>
      <top/>
      <bottom style="medium">
        <color indexed="64"/>
      </bottom>
      <diagonal/>
    </border>
    <border>
      <left/>
      <right style="thin">
        <color indexed="64"/>
      </right>
      <top/>
      <bottom/>
      <diagonal/>
    </border>
    <border>
      <left/>
      <right style="thin">
        <color indexed="64"/>
      </right>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right/>
      <top style="thin">
        <color indexed="64"/>
      </top>
      <bottom/>
      <diagonal/>
    </border>
    <border>
      <left style="thin">
        <color indexed="64"/>
      </left>
      <right/>
      <top/>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style="thin">
        <color indexed="64"/>
      </left>
      <right style="thin">
        <color indexed="64"/>
      </right>
      <top style="thin">
        <color indexed="64"/>
      </top>
      <bottom style="thin">
        <color indexed="64"/>
      </bottom>
      <diagonal/>
    </border>
  </borders>
  <cellStyleXfs count="140">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7"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7"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7"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7"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7"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7" fillId="32" borderId="0" applyNumberFormat="0" applyBorder="0" applyAlignment="0" applyProtection="0"/>
    <xf numFmtId="0" fontId="24" fillId="0" borderId="0">
      <alignment vertical="center"/>
    </xf>
    <xf numFmtId="0" fontId="25" fillId="0" borderId="0" applyNumberFormat="0" applyFill="0" applyBorder="0" applyAlignment="0" applyProtection="0">
      <alignment vertical="center"/>
    </xf>
    <xf numFmtId="0" fontId="26" fillId="0" borderId="1" applyNumberFormat="0" applyFill="0" applyAlignment="0" applyProtection="0">
      <alignment vertical="center"/>
    </xf>
    <xf numFmtId="0" fontId="27" fillId="0" borderId="2" applyNumberFormat="0" applyFill="0" applyAlignment="0" applyProtection="0">
      <alignment vertical="center"/>
    </xf>
    <xf numFmtId="0" fontId="28" fillId="0" borderId="3" applyNumberFormat="0" applyFill="0" applyAlignment="0" applyProtection="0">
      <alignment vertical="center"/>
    </xf>
    <xf numFmtId="0" fontId="28" fillId="0" borderId="0" applyNumberFormat="0" applyFill="0" applyBorder="0" applyAlignment="0" applyProtection="0">
      <alignment vertical="center"/>
    </xf>
    <xf numFmtId="0" fontId="29" fillId="2" borderId="0" applyNumberFormat="0" applyBorder="0" applyAlignment="0" applyProtection="0">
      <alignment vertical="center"/>
    </xf>
    <xf numFmtId="0" fontId="30" fillId="3" borderId="0" applyNumberFormat="0" applyBorder="0" applyAlignment="0" applyProtection="0">
      <alignment vertical="center"/>
    </xf>
    <xf numFmtId="0" fontId="31" fillId="4" borderId="0" applyNumberFormat="0" applyBorder="0" applyAlignment="0" applyProtection="0">
      <alignment vertical="center"/>
    </xf>
    <xf numFmtId="0" fontId="32" fillId="5" borderId="4" applyNumberFormat="0" applyAlignment="0" applyProtection="0">
      <alignment vertical="center"/>
    </xf>
    <xf numFmtId="0" fontId="33" fillId="6" borderId="5" applyNumberFormat="0" applyAlignment="0" applyProtection="0">
      <alignment vertical="center"/>
    </xf>
    <xf numFmtId="0" fontId="34" fillId="6" borderId="4" applyNumberFormat="0" applyAlignment="0" applyProtection="0">
      <alignment vertical="center"/>
    </xf>
    <xf numFmtId="0" fontId="35" fillId="0" borderId="6" applyNumberFormat="0" applyFill="0" applyAlignment="0" applyProtection="0">
      <alignment vertical="center"/>
    </xf>
    <xf numFmtId="0" fontId="36" fillId="7" borderId="7" applyNumberFormat="0" applyAlignment="0" applyProtection="0">
      <alignment vertical="center"/>
    </xf>
    <xf numFmtId="0" fontId="37" fillId="0" borderId="0" applyNumberFormat="0" applyFill="0" applyBorder="0" applyAlignment="0" applyProtection="0">
      <alignment vertical="center"/>
    </xf>
    <xf numFmtId="0" fontId="24" fillId="8" borderId="8" applyNumberFormat="0" applyFont="0" applyAlignment="0" applyProtection="0">
      <alignment vertical="center"/>
    </xf>
    <xf numFmtId="0" fontId="38" fillId="0" borderId="0" applyNumberFormat="0" applyFill="0" applyBorder="0" applyAlignment="0" applyProtection="0">
      <alignment vertical="center"/>
    </xf>
    <xf numFmtId="0" fontId="39" fillId="0" borderId="9" applyNumberFormat="0" applyFill="0" applyAlignment="0" applyProtection="0">
      <alignment vertical="center"/>
    </xf>
    <xf numFmtId="0" fontId="40" fillId="9" borderId="0" applyNumberFormat="0" applyBorder="0" applyAlignment="0" applyProtection="0">
      <alignment vertical="center"/>
    </xf>
    <xf numFmtId="0" fontId="24" fillId="10" borderId="0" applyNumberFormat="0" applyBorder="0" applyAlignment="0" applyProtection="0">
      <alignment vertical="center"/>
    </xf>
    <xf numFmtId="0" fontId="24" fillId="11" borderId="0" applyNumberFormat="0" applyBorder="0" applyAlignment="0" applyProtection="0">
      <alignment vertical="center"/>
    </xf>
    <xf numFmtId="0" fontId="24" fillId="12" borderId="0" applyNumberFormat="0" applyBorder="0" applyAlignment="0" applyProtection="0">
      <alignment vertical="center"/>
    </xf>
    <xf numFmtId="0" fontId="40" fillId="13" borderId="0" applyNumberFormat="0" applyBorder="0" applyAlignment="0" applyProtection="0">
      <alignment vertical="center"/>
    </xf>
    <xf numFmtId="0" fontId="24" fillId="14" borderId="0" applyNumberFormat="0" applyBorder="0" applyAlignment="0" applyProtection="0">
      <alignment vertical="center"/>
    </xf>
    <xf numFmtId="0" fontId="24" fillId="15" borderId="0" applyNumberFormat="0" applyBorder="0" applyAlignment="0" applyProtection="0">
      <alignment vertical="center"/>
    </xf>
    <xf numFmtId="0" fontId="24" fillId="16" borderId="0" applyNumberFormat="0" applyBorder="0" applyAlignment="0" applyProtection="0">
      <alignment vertical="center"/>
    </xf>
    <xf numFmtId="0" fontId="40" fillId="17" borderId="0" applyNumberFormat="0" applyBorder="0" applyAlignment="0" applyProtection="0">
      <alignment vertical="center"/>
    </xf>
    <xf numFmtId="0" fontId="24" fillId="18" borderId="0" applyNumberFormat="0" applyBorder="0" applyAlignment="0" applyProtection="0">
      <alignment vertical="center"/>
    </xf>
    <xf numFmtId="0" fontId="24" fillId="19" borderId="0" applyNumberFormat="0" applyBorder="0" applyAlignment="0" applyProtection="0">
      <alignment vertical="center"/>
    </xf>
    <xf numFmtId="0" fontId="24" fillId="20" borderId="0" applyNumberFormat="0" applyBorder="0" applyAlignment="0" applyProtection="0">
      <alignment vertical="center"/>
    </xf>
    <xf numFmtId="0" fontId="40" fillId="21" borderId="0" applyNumberFormat="0" applyBorder="0" applyAlignment="0" applyProtection="0">
      <alignment vertical="center"/>
    </xf>
    <xf numFmtId="0" fontId="24" fillId="22" borderId="0" applyNumberFormat="0" applyBorder="0" applyAlignment="0" applyProtection="0">
      <alignment vertical="center"/>
    </xf>
    <xf numFmtId="0" fontId="24" fillId="23" borderId="0" applyNumberFormat="0" applyBorder="0" applyAlignment="0" applyProtection="0">
      <alignment vertical="center"/>
    </xf>
    <xf numFmtId="0" fontId="24" fillId="24" borderId="0" applyNumberFormat="0" applyBorder="0" applyAlignment="0" applyProtection="0">
      <alignment vertical="center"/>
    </xf>
    <xf numFmtId="0" fontId="40" fillId="25" borderId="0" applyNumberFormat="0" applyBorder="0" applyAlignment="0" applyProtection="0">
      <alignment vertical="center"/>
    </xf>
    <xf numFmtId="0" fontId="24" fillId="26" borderId="0" applyNumberFormat="0" applyBorder="0" applyAlignment="0" applyProtection="0">
      <alignment vertical="center"/>
    </xf>
    <xf numFmtId="0" fontId="24" fillId="27" borderId="0" applyNumberFormat="0" applyBorder="0" applyAlignment="0" applyProtection="0">
      <alignment vertical="center"/>
    </xf>
    <xf numFmtId="0" fontId="24" fillId="28" borderId="0" applyNumberFormat="0" applyBorder="0" applyAlignment="0" applyProtection="0">
      <alignment vertical="center"/>
    </xf>
    <xf numFmtId="0" fontId="40" fillId="29" borderId="0" applyNumberFormat="0" applyBorder="0" applyAlignment="0" applyProtection="0">
      <alignment vertical="center"/>
    </xf>
    <xf numFmtId="0" fontId="24" fillId="30" borderId="0" applyNumberFormat="0" applyBorder="0" applyAlignment="0" applyProtection="0">
      <alignment vertical="center"/>
    </xf>
    <xf numFmtId="0" fontId="24" fillId="31" borderId="0" applyNumberFormat="0" applyBorder="0" applyAlignment="0" applyProtection="0">
      <alignment vertical="center"/>
    </xf>
    <xf numFmtId="0" fontId="24" fillId="32" borderId="0" applyNumberFormat="0" applyBorder="0" applyAlignment="0" applyProtection="0">
      <alignment vertical="center"/>
    </xf>
    <xf numFmtId="0" fontId="1"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7"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7"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7"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7"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7"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7" fillId="32" borderId="0" applyNumberFormat="0" applyBorder="0" applyAlignment="0" applyProtection="0"/>
    <xf numFmtId="0" fontId="42" fillId="4" borderId="0" applyNumberFormat="0" applyBorder="0" applyAlignment="0" applyProtection="0"/>
    <xf numFmtId="0" fontId="1" fillId="12" borderId="0" applyNumberFormat="0" applyBorder="0" applyAlignment="0" applyProtection="0"/>
    <xf numFmtId="0" fontId="1" fillId="16" borderId="0" applyNumberFormat="0" applyBorder="0" applyAlignment="0" applyProtection="0"/>
    <xf numFmtId="0" fontId="1" fillId="20" borderId="0" applyNumberFormat="0" applyBorder="0" applyAlignment="0" applyProtection="0"/>
    <xf numFmtId="0" fontId="1" fillId="24" borderId="0" applyNumberFormat="0" applyBorder="0" applyAlignment="0" applyProtection="0"/>
    <xf numFmtId="0" fontId="1" fillId="28" borderId="0" applyNumberFormat="0" applyBorder="0" applyAlignment="0" applyProtection="0"/>
    <xf numFmtId="0" fontId="1" fillId="32" borderId="0" applyNumberFormat="0" applyBorder="0" applyAlignment="0" applyProtection="0"/>
    <xf numFmtId="0" fontId="8" fillId="4" borderId="0" applyNumberFormat="0" applyBorder="0" applyAlignment="0" applyProtection="0"/>
    <xf numFmtId="0" fontId="17" fillId="12" borderId="0" applyNumberFormat="0" applyBorder="0" applyAlignment="0" applyProtection="0"/>
    <xf numFmtId="0" fontId="17" fillId="16" borderId="0" applyNumberFormat="0" applyBorder="0" applyAlignment="0" applyProtection="0"/>
    <xf numFmtId="0" fontId="17" fillId="20" borderId="0" applyNumberFormat="0" applyBorder="0" applyAlignment="0" applyProtection="0"/>
    <xf numFmtId="0" fontId="17" fillId="24" borderId="0" applyNumberFormat="0" applyBorder="0" applyAlignment="0" applyProtection="0"/>
    <xf numFmtId="0" fontId="17" fillId="28" borderId="0" applyNumberFormat="0" applyBorder="0" applyAlignment="0" applyProtection="0"/>
    <xf numFmtId="0" fontId="17" fillId="32" borderId="0" applyNumberFormat="0" applyBorder="0" applyAlignment="0" applyProtection="0"/>
  </cellStyleXfs>
  <cellXfs count="83">
    <xf numFmtId="0" fontId="0" fillId="0" borderId="0" xfId="0"/>
    <xf numFmtId="0" fontId="0" fillId="33" borderId="10" xfId="0" applyFill="1" applyBorder="1"/>
    <xf numFmtId="0" fontId="16" fillId="0" borderId="11" xfId="0" applyFont="1" applyBorder="1"/>
    <xf numFmtId="0" fontId="16" fillId="0" borderId="12" xfId="0" applyFont="1" applyBorder="1"/>
    <xf numFmtId="0" fontId="16" fillId="0" borderId="16" xfId="0" applyFont="1" applyBorder="1"/>
    <xf numFmtId="0" fontId="16" fillId="0" borderId="13" xfId="0" applyFont="1" applyBorder="1"/>
    <xf numFmtId="1" fontId="0" fillId="0" borderId="10" xfId="0" applyNumberFormat="1" applyBorder="1"/>
    <xf numFmtId="1" fontId="0" fillId="0" borderId="11" xfId="0" applyNumberFormat="1" applyBorder="1"/>
    <xf numFmtId="1" fontId="0" fillId="0" borderId="12" xfId="0" applyNumberFormat="1" applyBorder="1"/>
    <xf numFmtId="1" fontId="0" fillId="0" borderId="13" xfId="0" applyNumberFormat="1" applyBorder="1"/>
    <xf numFmtId="1" fontId="0" fillId="0" borderId="14" xfId="0" applyNumberFormat="1" applyBorder="1"/>
    <xf numFmtId="1" fontId="0" fillId="0" borderId="15" xfId="0" applyNumberFormat="1" applyBorder="1"/>
    <xf numFmtId="0" fontId="0" fillId="34" borderId="0" xfId="0" applyFill="1"/>
    <xf numFmtId="0" fontId="16" fillId="0" borderId="0" xfId="0" applyFont="1"/>
    <xf numFmtId="1" fontId="0" fillId="0" borderId="0" xfId="0" applyNumberFormat="1"/>
    <xf numFmtId="0" fontId="0" fillId="0" borderId="19" xfId="0" applyBorder="1"/>
    <xf numFmtId="0" fontId="0" fillId="0" borderId="14" xfId="0" applyBorder="1"/>
    <xf numFmtId="0" fontId="0" fillId="0" borderId="15" xfId="0" applyBorder="1"/>
    <xf numFmtId="0" fontId="0" fillId="0" borderId="23" xfId="0" applyBorder="1"/>
    <xf numFmtId="0" fontId="0" fillId="0" borderId="13" xfId="0" applyBorder="1"/>
    <xf numFmtId="0" fontId="0" fillId="0" borderId="24" xfId="0" applyBorder="1"/>
    <xf numFmtId="0" fontId="0" fillId="0" borderId="25" xfId="0" applyBorder="1"/>
    <xf numFmtId="0" fontId="0" fillId="0" borderId="16" xfId="0" applyBorder="1"/>
    <xf numFmtId="0" fontId="0" fillId="0" borderId="22" xfId="0" applyBorder="1"/>
    <xf numFmtId="0" fontId="0" fillId="0" borderId="26" xfId="0" applyBorder="1"/>
    <xf numFmtId="0" fontId="19" fillId="35" borderId="0" xfId="0" applyFont="1" applyFill="1"/>
    <xf numFmtId="0" fontId="18" fillId="0" borderId="27" xfId="0" applyFont="1" applyBorder="1"/>
    <xf numFmtId="0" fontId="16" fillId="0" borderId="17" xfId="0" applyFont="1" applyBorder="1"/>
    <xf numFmtId="0" fontId="0" fillId="0" borderId="20" xfId="0" applyBorder="1"/>
    <xf numFmtId="0" fontId="0" fillId="0" borderId="21" xfId="0" applyBorder="1"/>
    <xf numFmtId="0" fontId="0" fillId="0" borderId="18" xfId="0" applyBorder="1"/>
    <xf numFmtId="0" fontId="0" fillId="36" borderId="0" xfId="0" applyFill="1"/>
    <xf numFmtId="0" fontId="0" fillId="0" borderId="28" xfId="0" applyBorder="1"/>
    <xf numFmtId="0" fontId="0" fillId="0" borderId="29" xfId="0" applyBorder="1"/>
    <xf numFmtId="0" fontId="0" fillId="0" borderId="30" xfId="0" applyBorder="1"/>
    <xf numFmtId="0" fontId="0" fillId="0" borderId="31" xfId="0" applyBorder="1"/>
    <xf numFmtId="0" fontId="0" fillId="37" borderId="0" xfId="0" applyFill="1"/>
    <xf numFmtId="0" fontId="0" fillId="0" borderId="32" xfId="0" applyBorder="1"/>
    <xf numFmtId="0" fontId="0" fillId="0" borderId="33" xfId="0" applyBorder="1"/>
    <xf numFmtId="0" fontId="0" fillId="0" borderId="27" xfId="0" applyBorder="1"/>
    <xf numFmtId="0" fontId="0" fillId="0" borderId="17" xfId="0" applyBorder="1"/>
    <xf numFmtId="0" fontId="18" fillId="35" borderId="0" xfId="0" applyFont="1" applyFill="1"/>
    <xf numFmtId="0" fontId="0" fillId="35" borderId="0" xfId="0" applyFill="1"/>
    <xf numFmtId="0" fontId="0" fillId="37" borderId="20" xfId="0" applyFill="1" applyBorder="1"/>
    <xf numFmtId="0" fontId="0" fillId="38" borderId="0" xfId="0" applyFill="1"/>
    <xf numFmtId="0" fontId="0" fillId="38" borderId="19" xfId="0" applyFill="1" applyBorder="1"/>
    <xf numFmtId="0" fontId="0" fillId="38" borderId="14" xfId="0" applyFill="1" applyBorder="1"/>
    <xf numFmtId="0" fontId="0" fillId="38" borderId="15" xfId="0" applyFill="1" applyBorder="1"/>
    <xf numFmtId="0" fontId="19" fillId="0" borderId="0" xfId="0" applyFont="1"/>
    <xf numFmtId="11" fontId="0" fillId="35" borderId="0" xfId="0" applyNumberFormat="1" applyFill="1"/>
    <xf numFmtId="0" fontId="0" fillId="39" borderId="0" xfId="0" applyFill="1"/>
    <xf numFmtId="0" fontId="0" fillId="0" borderId="0" xfId="0" applyAlignment="1">
      <alignment horizontal="left"/>
    </xf>
    <xf numFmtId="0" fontId="0" fillId="0" borderId="0" xfId="0" applyAlignment="1">
      <alignment wrapText="1"/>
    </xf>
    <xf numFmtId="0" fontId="0" fillId="40" borderId="0" xfId="0" applyFill="1"/>
    <xf numFmtId="0" fontId="0" fillId="41" borderId="0" xfId="0" applyFill="1"/>
    <xf numFmtId="0" fontId="0" fillId="39" borderId="0" xfId="0" applyFill="1" applyAlignment="1">
      <alignment horizontal="left"/>
    </xf>
    <xf numFmtId="11" fontId="0" fillId="41" borderId="0" xfId="0" applyNumberFormat="1" applyFill="1"/>
    <xf numFmtId="0" fontId="0" fillId="41" borderId="0" xfId="0" applyFill="1" applyAlignment="1">
      <alignment horizontal="left"/>
    </xf>
    <xf numFmtId="11" fontId="0" fillId="37" borderId="0" xfId="0" applyNumberFormat="1" applyFill="1"/>
    <xf numFmtId="0" fontId="0" fillId="37" borderId="0" xfId="0" applyFill="1" applyAlignment="1">
      <alignment horizontal="left"/>
    </xf>
    <xf numFmtId="0" fontId="0" fillId="42" borderId="33" xfId="0" applyFill="1" applyBorder="1"/>
    <xf numFmtId="0" fontId="0" fillId="42" borderId="28" xfId="0" applyFill="1" applyBorder="1"/>
    <xf numFmtId="0" fontId="0" fillId="34" borderId="34" xfId="0" applyFill="1" applyBorder="1"/>
    <xf numFmtId="0" fontId="16" fillId="0" borderId="34" xfId="0" applyFont="1" applyBorder="1"/>
    <xf numFmtId="0" fontId="22" fillId="0" borderId="34" xfId="0" applyFont="1" applyBorder="1" applyAlignment="1">
      <alignment horizontal="center" vertical="top"/>
    </xf>
    <xf numFmtId="0" fontId="0" fillId="43" borderId="0" xfId="0" applyFill="1"/>
    <xf numFmtId="0" fontId="41" fillId="0" borderId="0" xfId="42" applyFont="1">
      <alignment vertical="center"/>
    </xf>
    <xf numFmtId="0" fontId="41" fillId="0" borderId="0" xfId="0" applyFont="1"/>
    <xf numFmtId="164" fontId="0" fillId="0" borderId="0" xfId="0" applyNumberFormat="1"/>
    <xf numFmtId="165" fontId="41" fillId="0" borderId="0" xfId="42" applyNumberFormat="1" applyFont="1">
      <alignment vertical="center"/>
    </xf>
    <xf numFmtId="1" fontId="0" fillId="34" borderId="0" xfId="0" applyNumberFormat="1" applyFill="1"/>
    <xf numFmtId="1" fontId="0" fillId="39" borderId="0" xfId="0" applyNumberFormat="1" applyFill="1"/>
    <xf numFmtId="0" fontId="16" fillId="33" borderId="0" xfId="0" applyFont="1" applyFill="1" applyAlignment="1">
      <alignment horizontal="left"/>
    </xf>
    <xf numFmtId="2" fontId="0" fillId="0" borderId="0" xfId="0" applyNumberFormat="1"/>
    <xf numFmtId="1" fontId="0" fillId="0" borderId="26" xfId="0" applyNumberFormat="1" applyBorder="1"/>
    <xf numFmtId="0" fontId="16" fillId="0" borderId="33" xfId="0" applyFont="1" applyBorder="1"/>
    <xf numFmtId="1" fontId="0" fillId="0" borderId="29" xfId="0" applyNumberFormat="1" applyBorder="1"/>
    <xf numFmtId="1" fontId="0" fillId="0" borderId="30" xfId="0" applyNumberFormat="1" applyBorder="1"/>
    <xf numFmtId="0" fontId="16" fillId="0" borderId="31" xfId="0" applyFont="1" applyBorder="1"/>
    <xf numFmtId="166" fontId="0" fillId="0" borderId="0" xfId="0" applyNumberFormat="1"/>
    <xf numFmtId="165" fontId="0" fillId="0" borderId="0" xfId="0" applyNumberFormat="1"/>
    <xf numFmtId="167" fontId="0" fillId="0" borderId="0" xfId="0" applyNumberFormat="1"/>
    <xf numFmtId="0" fontId="18" fillId="34" borderId="0" xfId="0" applyFont="1" applyFill="1" applyAlignment="1">
      <alignment horizontal="center"/>
    </xf>
  </cellXfs>
  <cellStyles count="140">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20% - 着色 1 2" xfId="103" xr:uid="{93995579-F647-4A4D-8CB6-4C8D203E7164}"/>
    <cellStyle name="20% - 着色 1 3" xfId="61" xr:uid="{8F8BE3BB-488D-4973-801A-32F009FA4C21}"/>
    <cellStyle name="20% - 着色 2 2" xfId="107" xr:uid="{A9310851-C7A9-4466-9EEF-6E1E4361EAC4}"/>
    <cellStyle name="20% - 着色 2 3" xfId="65" xr:uid="{53B5ABB2-3231-4568-B0DA-A8C95B931EEF}"/>
    <cellStyle name="20% - 着色 3 2" xfId="111" xr:uid="{39DF90C3-4B8D-48D6-AE36-7064FCCF0498}"/>
    <cellStyle name="20% - 着色 3 3" xfId="69" xr:uid="{2DA92B6B-353D-4748-90BE-D9E37D97E518}"/>
    <cellStyle name="20% - 着色 4 2" xfId="115" xr:uid="{0448FF2A-6BD6-48DC-A972-5F7DBD876868}"/>
    <cellStyle name="20% - 着色 4 3" xfId="73" xr:uid="{D2700AAB-4E96-4609-A213-77C7312BF1D3}"/>
    <cellStyle name="20% - 着色 5 2" xfId="119" xr:uid="{696239B5-C303-4ED9-89B2-59F18C136729}"/>
    <cellStyle name="20% - 着色 5 3" xfId="77" xr:uid="{64F6C04F-2A27-41A5-9869-8782C863A6E1}"/>
    <cellStyle name="20% - 着色 6 2" xfId="123" xr:uid="{7443F0DE-F560-41C6-9392-C11EF5F96662}"/>
    <cellStyle name="20% - 着色 6 3" xfId="81" xr:uid="{677C5F96-174A-42C1-A5E3-021DBF7378BD}"/>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40% - 着色 1 2" xfId="104" xr:uid="{EA853727-AA3F-42F9-ADC9-CEAD541B2673}"/>
    <cellStyle name="40% - 着色 1 3" xfId="62" xr:uid="{7E3DCD2A-3ED5-4D2C-AF95-62F45BE59A9B}"/>
    <cellStyle name="40% - 着色 2 2" xfId="108" xr:uid="{D03EE440-DB73-446A-B565-DF3A7043FC81}"/>
    <cellStyle name="40% - 着色 2 3" xfId="66" xr:uid="{9C4CE0A7-62FD-4A78-87B3-94AFD3805993}"/>
    <cellStyle name="40% - 着色 3 2" xfId="112" xr:uid="{B5AD516F-55EB-4409-B5B9-0AC86C8F9B39}"/>
    <cellStyle name="40% - 着色 3 3" xfId="70" xr:uid="{D3CB2870-010F-4D25-827B-2736EFC23E7F}"/>
    <cellStyle name="40% - 着色 4 2" xfId="116" xr:uid="{C59C19D1-FB98-46AD-8646-267864CFD03E}"/>
    <cellStyle name="40% - 着色 4 3" xfId="74" xr:uid="{8AF08939-3ADE-43D7-846F-9A52915B65FC}"/>
    <cellStyle name="40% - 着色 5 2" xfId="120" xr:uid="{98F60706-C25D-4DD1-9537-1FF225FF1F26}"/>
    <cellStyle name="40% - 着色 5 3" xfId="78" xr:uid="{933B6379-A6D9-4B01-B3F2-B4303CDF815A}"/>
    <cellStyle name="40% - 着色 6 2" xfId="124" xr:uid="{594B2EF0-AC88-43F4-85E1-940940DAD2A5}"/>
    <cellStyle name="40% - 着色 6 3" xfId="82" xr:uid="{C740B160-361D-45E7-B38F-1E3F75E72D1E}"/>
    <cellStyle name="60% - Accent1" xfId="21" builtinId="32" customBuiltin="1"/>
    <cellStyle name="60% - Accent1 2" xfId="134" xr:uid="{C602557E-3464-4805-84A5-B068DA8298FD}"/>
    <cellStyle name="60% - Accent1 3" xfId="127" xr:uid="{DDFF95BA-582E-4981-B15E-1732B7A76AF2}"/>
    <cellStyle name="60% - Accent2" xfId="25" builtinId="36" customBuiltin="1"/>
    <cellStyle name="60% - Accent2 2" xfId="135" xr:uid="{D0EF33D0-13B1-4249-BF5A-42B27A667437}"/>
    <cellStyle name="60% - Accent2 3" xfId="128" xr:uid="{440DBA79-D297-4F20-9397-2A71D7A6CA35}"/>
    <cellStyle name="60% - Accent3" xfId="29" builtinId="40" customBuiltin="1"/>
    <cellStyle name="60% - Accent3 2" xfId="136" xr:uid="{00C085A1-A597-4AAB-A983-12AC5EF3232D}"/>
    <cellStyle name="60% - Accent3 3" xfId="129" xr:uid="{046E6447-D0E9-4AE9-9413-F75BD8CF27BF}"/>
    <cellStyle name="60% - Accent4" xfId="33" builtinId="44" customBuiltin="1"/>
    <cellStyle name="60% - Accent4 2" xfId="137" xr:uid="{4280510C-1A45-4883-8146-400EEEC2F232}"/>
    <cellStyle name="60% - Accent4 3" xfId="130" xr:uid="{A619BBB3-E5EA-4B36-8619-8AD3F6EA91EC}"/>
    <cellStyle name="60% - Accent5" xfId="37" builtinId="48" customBuiltin="1"/>
    <cellStyle name="60% - Accent5 2" xfId="138" xr:uid="{5B646915-4642-4389-9108-30D45A9D7E9E}"/>
    <cellStyle name="60% - Accent5 3" xfId="131" xr:uid="{870400F5-6E23-4EE8-991F-E4D9EC84CC3F}"/>
    <cellStyle name="60% - Accent6" xfId="41" builtinId="52" customBuiltin="1"/>
    <cellStyle name="60% - Accent6 2" xfId="139" xr:uid="{013CA7D1-5DF8-4594-B91B-67FD9CA9C26F}"/>
    <cellStyle name="60% - Accent6 3" xfId="132" xr:uid="{C92BE8D3-255D-4A02-95F1-BC53415257C9}"/>
    <cellStyle name="60% - 着色 1 2" xfId="105" xr:uid="{15E45F4D-C835-4D4F-9286-27B0409E5465}"/>
    <cellStyle name="60% - 着色 1 3" xfId="63" xr:uid="{91A28203-149F-4C0D-A134-B00B76705294}"/>
    <cellStyle name="60% - 着色 2 2" xfId="109" xr:uid="{A0E4F0DE-4B32-4105-AB3E-B26BC48DA279}"/>
    <cellStyle name="60% - 着色 2 3" xfId="67" xr:uid="{6EBFCE8C-6B0D-4618-BB52-2C4A6C851133}"/>
    <cellStyle name="60% - 着色 3 2" xfId="113" xr:uid="{CE0A805C-85F8-496F-9B11-2F1746A0907A}"/>
    <cellStyle name="60% - 着色 3 3" xfId="71" xr:uid="{632D53FE-A012-42B1-BB0F-383AD518B79E}"/>
    <cellStyle name="60% - 着色 4 2" xfId="117" xr:uid="{E54073ED-9137-4843-BC7A-CBFBFA48674F}"/>
    <cellStyle name="60% - 着色 4 3" xfId="75" xr:uid="{7755AB86-38AB-4F24-9914-FF958B0C5A96}"/>
    <cellStyle name="60% - 着色 5 2" xfId="121" xr:uid="{C7241F18-FDE3-4482-8E25-D753D03AE76E}"/>
    <cellStyle name="60% - 着色 5 3" xfId="79" xr:uid="{A204C23D-DC73-4DBC-8715-FA54D933805C}"/>
    <cellStyle name="60% - 着色 6 2" xfId="125" xr:uid="{947AF9B0-2EC8-4F96-8981-DD2241507C3E}"/>
    <cellStyle name="60% - 着色 6 3" xfId="83" xr:uid="{FAB8CE52-6B28-4D54-9373-F981D440F844}"/>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eutral 2" xfId="133" xr:uid="{BBC143AC-05F3-4E26-9F13-85C30C16493B}"/>
    <cellStyle name="Neutral 3" xfId="126" xr:uid="{DE73187A-50D3-4BBF-914D-83E091F65F03}"/>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 name="好 2" xfId="90" xr:uid="{5547182C-B6F0-4F1A-91B3-3003F3B6815F}"/>
    <cellStyle name="好 3" xfId="48" xr:uid="{30188C77-FB65-41CF-A12D-205694642768}"/>
    <cellStyle name="差 2" xfId="91" xr:uid="{43908EBE-4906-42B2-BCE4-03D31AA52A82}"/>
    <cellStyle name="差 3" xfId="49" xr:uid="{EF2E6EAC-CAC0-4DA3-B3E2-F425C160CF17}"/>
    <cellStyle name="常规 2" xfId="84" xr:uid="{DAA3C3BC-ED49-42B6-B280-365C07D8349E}"/>
    <cellStyle name="常规 3" xfId="42" xr:uid="{4008D80D-1761-45FE-A844-2D95824A05D5}"/>
    <cellStyle name="标题 1 2" xfId="86" xr:uid="{72BA7A1F-5170-438B-B745-D1A3F68520E6}"/>
    <cellStyle name="标题 1 3" xfId="44" xr:uid="{E1E16E97-7938-41FE-B64D-EF29EA30F5C9}"/>
    <cellStyle name="标题 2 2" xfId="87" xr:uid="{7BD876EC-AE7B-46E6-B000-7B41D1711FE1}"/>
    <cellStyle name="标题 2 3" xfId="45" xr:uid="{7EF5FBFA-4325-42C3-B88E-F3B333AB09F2}"/>
    <cellStyle name="标题 3 2" xfId="88" xr:uid="{75D82BEE-C5A4-472A-B7FB-0BB1ABD1D4FB}"/>
    <cellStyle name="标题 3 3" xfId="46" xr:uid="{9C4D5D2D-DF64-4297-B151-9995C269B078}"/>
    <cellStyle name="标题 4 2" xfId="89" xr:uid="{251F6FA2-981B-4A0E-BD61-520251E8ADA1}"/>
    <cellStyle name="标题 4 3" xfId="47" xr:uid="{27115F12-2DA3-47F3-A7A4-9A6B26B5447C}"/>
    <cellStyle name="标题 5" xfId="85" xr:uid="{22037417-82BC-4E9D-BF71-555D2C592FDE}"/>
    <cellStyle name="标题 6" xfId="43" xr:uid="{6CB91BAB-5626-46B2-B851-5846E7B41568}"/>
    <cellStyle name="检查单元格 2" xfId="97" xr:uid="{EE0DE41B-79FE-4611-B593-027C856F273B}"/>
    <cellStyle name="检查单元格 3" xfId="55" xr:uid="{FC9ACB84-E3C7-46D1-A1C2-355A6093FB56}"/>
    <cellStyle name="汇总 2" xfId="101" xr:uid="{6F6E54A5-3246-418D-9341-07E7CC1C5E4F}"/>
    <cellStyle name="汇总 3" xfId="59" xr:uid="{70E3BCD1-9D0F-4881-BFFE-71822F046248}"/>
    <cellStyle name="注释 2" xfId="99" xr:uid="{63DFFAEE-E5CD-43DA-8835-5D21C6F7CAC7}"/>
    <cellStyle name="注释 3" xfId="57" xr:uid="{2B1A0869-2A59-4259-A6A6-4B7C29249A88}"/>
    <cellStyle name="着色 1 2" xfId="102" xr:uid="{66E72FBD-C50D-4B5C-8999-41AD42A4E969}"/>
    <cellStyle name="着色 1 3" xfId="60" xr:uid="{ED194787-FEB1-46ED-A7A6-E9D6987A94D9}"/>
    <cellStyle name="着色 2 2" xfId="106" xr:uid="{82A32B65-14E4-493F-B7B9-9D344B4B6DB7}"/>
    <cellStyle name="着色 2 3" xfId="64" xr:uid="{E9591842-631F-49B1-9DA2-B0BF8A788948}"/>
    <cellStyle name="着色 3 2" xfId="110" xr:uid="{5C38FED4-C4FE-40C4-9EF6-1E4762DFE05E}"/>
    <cellStyle name="着色 3 3" xfId="68" xr:uid="{28B27BF5-AAE9-499D-AEBE-6D59C9434422}"/>
    <cellStyle name="着色 4 2" xfId="114" xr:uid="{BCE199D2-0458-4AF4-88C2-F301130106E1}"/>
    <cellStyle name="着色 4 3" xfId="72" xr:uid="{35066C82-89BC-4B28-A6CF-7BE4E2275C47}"/>
    <cellStyle name="着色 5 2" xfId="118" xr:uid="{F58FAB81-9030-48BA-A728-1999C3873F6C}"/>
    <cellStyle name="着色 5 3" xfId="76" xr:uid="{31789A79-2F9A-4281-9C18-7C4AD923A3AF}"/>
    <cellStyle name="着色 6 2" xfId="122" xr:uid="{BDF06101-111F-4EA7-B06A-9C52DE7052F3}"/>
    <cellStyle name="着色 6 3" xfId="80" xr:uid="{65BBEE92-BB4B-4CA0-8E44-059B7D943FB7}"/>
    <cellStyle name="解释性文本 2" xfId="100" xr:uid="{89C46296-DC21-418B-A02C-91D3361B6F54}"/>
    <cellStyle name="解释性文本 3" xfId="58" xr:uid="{808123A2-451A-455F-884D-C43C3FE1954E}"/>
    <cellStyle name="警告文本 2" xfId="98" xr:uid="{C63D769D-2BFB-4F80-9E7C-ACDD5909DDDC}"/>
    <cellStyle name="警告文本 3" xfId="56" xr:uid="{131C7136-9728-4CF5-9047-8BC1EC8BAADF}"/>
    <cellStyle name="计算 2" xfId="95" xr:uid="{9CF05322-FB9D-4828-A2CA-9C27D9C40F71}"/>
    <cellStyle name="计算 3" xfId="53" xr:uid="{DC2CFB4A-58C7-4276-8420-489117567C5A}"/>
    <cellStyle name="输入 2" xfId="93" xr:uid="{23262827-A0C9-4C51-A2C8-0695FF5213E9}"/>
    <cellStyle name="输入 3" xfId="51" xr:uid="{A259042C-330C-403F-B459-D8C89E42EB24}"/>
    <cellStyle name="输出 2" xfId="94" xr:uid="{11CD27AD-FA17-408A-B82B-264E94CEFD32}"/>
    <cellStyle name="输出 3" xfId="52" xr:uid="{3B89E0FA-3DF5-4189-9359-EB22540CD192}"/>
    <cellStyle name="适中 2" xfId="92" xr:uid="{931AB238-4BBB-45AE-A1AA-88FB9438F161}"/>
    <cellStyle name="适中 3" xfId="50" xr:uid="{D8AC35DD-D2F5-4F28-8AA4-1D82232E7EAA}"/>
    <cellStyle name="链接单元格 2" xfId="96" xr:uid="{B895FD07-F2B9-4FE3-B1AE-C313549E568B}"/>
    <cellStyle name="链接单元格 3" xfId="54" xr:uid="{47CDF67E-77E8-4CE5-8C79-AADAA136515C}"/>
  </cellStyles>
  <dxfs count="0"/>
  <tableStyles count="0" defaultTableStyle="TableStyleMedium2" defaultPivotStyle="PivotStyleLight16"/>
  <colors>
    <mruColors>
      <color rgb="FFCC66FF"/>
      <color rgb="FFFF7C8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drawings/drawing1.xml><?xml version="1.0" encoding="utf-8"?>
<xdr:wsDr xmlns:xdr="http://schemas.openxmlformats.org/drawingml/2006/spreadsheetDrawing" xmlns:a="http://schemas.openxmlformats.org/drawingml/2006/main">
  <xdr:oneCellAnchor>
    <xdr:from>
      <xdr:col>7</xdr:col>
      <xdr:colOff>371475</xdr:colOff>
      <xdr:row>1</xdr:row>
      <xdr:rowOff>171450</xdr:rowOff>
    </xdr:from>
    <xdr:ext cx="4876800" cy="2571750"/>
    <xdr:sp macro="" textlink="">
      <xdr:nvSpPr>
        <xdr:cNvPr id="2" name="TextBox 1">
          <a:extLst>
            <a:ext uri="{FF2B5EF4-FFF2-40B4-BE49-F238E27FC236}">
              <a16:creationId xmlns:a16="http://schemas.microsoft.com/office/drawing/2014/main" id="{00000000-0008-0000-0000-000002000000}"/>
            </a:ext>
          </a:extLst>
        </xdr:cNvPr>
        <xdr:cNvSpPr txBox="1"/>
      </xdr:nvSpPr>
      <xdr:spPr>
        <a:xfrm>
          <a:off x="13887450" y="352425"/>
          <a:ext cx="4876800" cy="2571750"/>
        </a:xfrm>
        <a:prstGeom prst="rect">
          <a:avLst/>
        </a:prstGeom>
        <a:solidFill>
          <a:schemeClr val="accent1">
            <a:lumMod val="20000"/>
            <a:lumOff val="80000"/>
          </a:schemeClr>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US" sz="1100"/>
            <a:t>NOTES:</a:t>
          </a:r>
        </a:p>
        <a:p>
          <a:r>
            <a:rPr lang="en-US" sz="1100"/>
            <a:t>- Column</a:t>
          </a:r>
          <a:r>
            <a:rPr lang="en-US" sz="1100" baseline="0"/>
            <a:t> A lists the stock variables that need to be initialized. </a:t>
          </a:r>
        </a:p>
        <a:p>
          <a:endParaRPr lang="en-US" sz="1100" baseline="0"/>
        </a:p>
        <a:p>
          <a:r>
            <a:rPr lang="en-US" sz="1100" baseline="0"/>
            <a:t>- Column B lists the model parameters that are used as the initial values of the stocks, and that are linked to this excel file. To see the exact connection between the model and this file, you can search for the parameter name in Column B.</a:t>
          </a:r>
        </a:p>
        <a:p>
          <a:endParaRPr lang="en-US" sz="1100" baseline="0"/>
        </a:p>
        <a:p>
          <a:r>
            <a:rPr lang="en-US" sz="1100" baseline="0"/>
            <a:t>- Column F lists the values read by the model. Currently they are set to the 2016 values. If one wants to initialize the model in a differet year, the values on this column should be changed.</a:t>
          </a:r>
        </a:p>
        <a:p>
          <a:endParaRPr lang="en-US" sz="1100" baseline="0"/>
        </a:p>
        <a:p>
          <a:r>
            <a:rPr lang="en-US" sz="1100" baseline="0"/>
            <a:t>-  The yellow cells are parameters that were not found in hte model. purple cells are parameters that were not parameters in the model anymore.</a:t>
          </a:r>
        </a:p>
        <a:p>
          <a:endParaRPr lang="en-US" sz="1100" baseline="0"/>
        </a:p>
        <a:p>
          <a:endParaRPr lang="en-US" sz="1100"/>
        </a:p>
        <a:p>
          <a:endParaRPr lang="en-US" sz="1100"/>
        </a:p>
        <a:p>
          <a:endParaRPr lang="en-US" sz="1100"/>
        </a:p>
      </xdr:txBody>
    </xdr:sp>
    <xdr:clientData/>
  </xdr:oneCellAnchor>
</xdr:wsDr>
</file>

<file path=xl/drawings/drawing2.xml><?xml version="1.0" encoding="utf-8"?>
<xdr:wsDr xmlns:xdr="http://schemas.openxmlformats.org/drawingml/2006/spreadsheetDrawing" xmlns:a="http://schemas.openxmlformats.org/drawingml/2006/main">
  <xdr:oneCellAnchor>
    <xdr:from>
      <xdr:col>22</xdr:col>
      <xdr:colOff>414337</xdr:colOff>
      <xdr:row>16</xdr:row>
      <xdr:rowOff>119063</xdr:rowOff>
    </xdr:from>
    <xdr:ext cx="4876800" cy="1800224"/>
    <xdr:sp macro="" textlink="">
      <xdr:nvSpPr>
        <xdr:cNvPr id="2" name="TextBox 1">
          <a:extLst>
            <a:ext uri="{FF2B5EF4-FFF2-40B4-BE49-F238E27FC236}">
              <a16:creationId xmlns:a16="http://schemas.microsoft.com/office/drawing/2014/main" id="{00000000-0008-0000-0100-000002000000}"/>
            </a:ext>
          </a:extLst>
        </xdr:cNvPr>
        <xdr:cNvSpPr txBox="1"/>
      </xdr:nvSpPr>
      <xdr:spPr>
        <a:xfrm>
          <a:off x="14863762" y="3319463"/>
          <a:ext cx="4876800" cy="1800224"/>
        </a:xfrm>
        <a:prstGeom prst="rect">
          <a:avLst/>
        </a:prstGeom>
        <a:solidFill>
          <a:schemeClr val="accent1">
            <a:lumMod val="20000"/>
            <a:lumOff val="80000"/>
          </a:schemeClr>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US" sz="1100"/>
            <a:t>NOTES:</a:t>
          </a:r>
        </a:p>
        <a:p>
          <a:r>
            <a:rPr lang="en-US" sz="1100"/>
            <a:t>- These</a:t>
          </a:r>
          <a:r>
            <a:rPr lang="en-US" sz="1100" baseline="0"/>
            <a:t> are the initial population values for each gender and population cohort.</a:t>
          </a:r>
        </a:p>
        <a:p>
          <a:r>
            <a:rPr lang="en-US" sz="1100" baseline="0"/>
            <a:t>- They are linked to the model parameter "Initial Population"</a:t>
          </a:r>
          <a:endParaRPr lang="en-US" sz="1100"/>
        </a:p>
        <a:p>
          <a:r>
            <a:rPr lang="en-US" sz="1100"/>
            <a:t>- Currently, the model reads the values in the green colored are, based on the input cell 'B24'.</a:t>
          </a:r>
          <a:r>
            <a:rPr lang="en-US" sz="1100" baseline="0"/>
            <a:t> These are the simulated values for 2016, equal to the values in the rows 12 and 13.</a:t>
          </a:r>
        </a:p>
        <a:p>
          <a:r>
            <a:rPr lang="en-US" sz="1100" baseline="0"/>
            <a:t>- If one wants to initialize the model in a different year or with data values, the values in the green-colored area should be changed. For instance, to initialize the model in 2015 with the historical data, once can copy the values from the rows 19 and 20 to the green-colored rows.</a:t>
          </a:r>
        </a:p>
        <a:p>
          <a:endParaRPr lang="en-US" sz="1100"/>
        </a:p>
        <a:p>
          <a:endParaRPr lang="en-US" sz="1100"/>
        </a:p>
        <a:p>
          <a:endParaRPr lang="en-US" sz="1100"/>
        </a:p>
      </xdr:txBody>
    </xdr:sp>
    <xdr:clientData/>
  </xdr:oneCellAnchor>
</xdr:wsDr>
</file>

<file path=xl/drawings/drawing3.xml><?xml version="1.0" encoding="utf-8"?>
<xdr:wsDr xmlns:xdr="http://schemas.openxmlformats.org/drawingml/2006/spreadsheetDrawing" xmlns:a="http://schemas.openxmlformats.org/drawingml/2006/main">
  <xdr:oneCellAnchor>
    <xdr:from>
      <xdr:col>21</xdr:col>
      <xdr:colOff>0</xdr:colOff>
      <xdr:row>41</xdr:row>
      <xdr:rowOff>0</xdr:rowOff>
    </xdr:from>
    <xdr:ext cx="5619750" cy="2275416"/>
    <xdr:sp macro="" textlink="">
      <xdr:nvSpPr>
        <xdr:cNvPr id="2" name="TextBox 1">
          <a:extLst>
            <a:ext uri="{FF2B5EF4-FFF2-40B4-BE49-F238E27FC236}">
              <a16:creationId xmlns:a16="http://schemas.microsoft.com/office/drawing/2014/main" id="{00000000-0008-0000-0200-000002000000}"/>
            </a:ext>
          </a:extLst>
        </xdr:cNvPr>
        <xdr:cNvSpPr txBox="1"/>
      </xdr:nvSpPr>
      <xdr:spPr>
        <a:xfrm>
          <a:off x="15049500" y="7667626"/>
          <a:ext cx="5619750" cy="2275416"/>
        </a:xfrm>
        <a:prstGeom prst="rect">
          <a:avLst/>
        </a:prstGeom>
        <a:solidFill>
          <a:schemeClr val="accent1">
            <a:lumMod val="20000"/>
            <a:lumOff val="80000"/>
          </a:schemeClr>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US" sz="1100"/>
            <a:t>NOTES:</a:t>
          </a:r>
        </a:p>
        <a:p>
          <a:r>
            <a:rPr lang="en-US" sz="1100"/>
            <a:t>- These</a:t>
          </a:r>
          <a:r>
            <a:rPr lang="en-US" sz="1100" baseline="0"/>
            <a:t> are the initial values of the education stocks for each gender and population cohort.</a:t>
          </a:r>
        </a:p>
        <a:p>
          <a:r>
            <a:rPr lang="en-US" sz="1100" baseline="0"/>
            <a:t>- They are linked to the model parameter "Initial Primary Education Graduates", "Initial Secondary Education Graduates" and "Initial Tertiary Education Graduates".</a:t>
          </a:r>
          <a:endParaRPr lang="en-US" sz="1100"/>
        </a:p>
        <a:p>
          <a:r>
            <a:rPr lang="en-US" sz="1100"/>
            <a:t>- Currently, the model reads the values in the green colored are, based on the input cell 'B42, 'B46' and 'B50'.</a:t>
          </a:r>
          <a:r>
            <a:rPr lang="en-US" sz="1100" baseline="0"/>
            <a:t> These are the simulated values for 2016, equal to the values in the tables marked as "2016" for each education level.</a:t>
          </a:r>
        </a:p>
        <a:p>
          <a:r>
            <a:rPr lang="en-US" sz="1100" baseline="0"/>
            <a:t>- If one wants to initialize the model in a different year or with data values, the values in the green-colored area should be changed. </a:t>
          </a:r>
        </a:p>
        <a:p>
          <a:endParaRPr lang="en-US" sz="1100" baseline="0"/>
        </a:p>
        <a:p>
          <a:r>
            <a:rPr lang="en-US" sz="1100" baseline="0"/>
            <a:t>- The red color cells in the IIASA SSP Data are those that didnt exist in IIASA database, and we used the current estimatation from Felix</a:t>
          </a:r>
        </a:p>
        <a:p>
          <a:endParaRPr lang="en-US" sz="1100"/>
        </a:p>
        <a:p>
          <a:endParaRPr lang="en-US" sz="1100"/>
        </a:p>
      </xdr:txBody>
    </xdr:sp>
    <xdr:clientData/>
  </xdr:oneCellAnchor>
</xdr:wsDr>
</file>

<file path=xl/persons/person.xml><?xml version="1.0" encoding="utf-8"?>
<personList xmlns="http://schemas.microsoft.com/office/spreadsheetml/2018/threadedcomments" xmlns:x="http://schemas.openxmlformats.org/spreadsheetml/2006/main">
  <person displayName="YE Quanliang" id="{52838438-22C5-4396-BBB1-42C0F3884DB2}" userId="S::yequanliang@iiasa.ac.at::c59ce077-f53c-41b9-a241-12df0c14e864"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O49" dT="2025-11-11T05:07:05.20" personId="{52838438-22C5-4396-BBB1-42C0F3884DB2}" id="{8D73BC33-7639-4BC1-8B27-E114AF5A791B}">
    <text>Modeled values from FeliX-R5</text>
  </threadedComment>
  <threadedComment ref="P73" dT="2025-11-11T05:07:26.41" personId="{52838438-22C5-4396-BBB1-42C0F3884DB2}" id="{67445E4A-9D18-41E4-9084-9F6D1D5F83CF}">
    <text>Scaling factor to match the regional data</text>
  </threadedComment>
  <threadedComment ref="C188" dT="2025-11-25T17:14:04.59" personId="{52838438-22C5-4396-BBB1-42C0F3884DB2}" id="{BA1BB397-19FD-4E00-9FB4-7FA3C75049EB}">
    <text>Current percentage of vegetarian followers</text>
  </threadedComment>
  <threadedComment ref="D188" dT="2025-11-25T17:14:21.98" personId="{52838438-22C5-4396-BBB1-42C0F3884DB2}" id="{D1AB8DDC-036E-493A-9BDF-93707DB57430}">
    <text>Targeting vegetarian followers</text>
  </threadedComment>
  <threadedComment ref="E188" dT="2025-11-25T17:14:51.46" personId="{52838438-22C5-4396-BBB1-42C0F3884DB2}" id="{A213472A-67E0-4330-ABC0-8745E7D600F0}">
    <text>Scaling factor for vegetarian followers</text>
  </threadedComment>
  <threadedComment ref="F188" dT="2025-11-25T17:15:24.97" personId="{52838438-22C5-4396-BBB1-42C0F3884DB2}" id="{C33086D7-D115-4F59-A228-F1B5760F5BA7}">
    <text>Scaling factor for meat-diet followers</text>
  </threadedComment>
  <threadedComment ref="C235" dT="2025-11-25T17:14:04.59" personId="{52838438-22C5-4396-BBB1-42C0F3884DB2}" id="{6469E6E4-9CED-4E2D-A67F-9E438B2E7141}">
    <text>Current percentage of vegetarian followers</text>
  </threadedComment>
  <threadedComment ref="D235" dT="2025-11-25T17:14:21.98" personId="{52838438-22C5-4396-BBB1-42C0F3884DB2}" id="{86DB68AF-BD6E-4453-A799-DCE61543F169}">
    <text>Targeting vegetarian followers</text>
  </threadedComment>
  <threadedComment ref="E235" dT="2025-11-25T17:14:51.46" personId="{52838438-22C5-4396-BBB1-42C0F3884DB2}" id="{C29B622F-6171-42BF-9AA9-FBAA2EBF38E6}">
    <text>Scaling factor for vegetarian followers</text>
  </threadedComment>
  <threadedComment ref="F235" dT="2025-11-25T17:15:24.97" personId="{52838438-22C5-4396-BBB1-42C0F3884DB2}" id="{72FD8EA1-23EB-47DF-A0AD-BE39CE39CD28}">
    <text>Scaling factor for meat-diet followers</text>
  </threadedComment>
  <threadedComment ref="C282" dT="2025-11-25T17:14:04.59" personId="{52838438-22C5-4396-BBB1-42C0F3884DB2}" id="{0AB3D946-5340-4EE7-949D-4B67E913E289}">
    <text>Current percentage of vegetarian followers</text>
  </threadedComment>
  <threadedComment ref="D282" dT="2025-11-25T17:14:21.98" personId="{52838438-22C5-4396-BBB1-42C0F3884DB2}" id="{BAA2459C-3D8E-4147-A880-35AE57CB8BBB}">
    <text>Targeting vegetarian followers</text>
  </threadedComment>
  <threadedComment ref="E282" dT="2025-11-25T17:14:51.46" personId="{52838438-22C5-4396-BBB1-42C0F3884DB2}" id="{D4221F0D-5E73-4BAF-9EBC-2E714132A8A3}">
    <text>Scaling factor for vegetarian followers</text>
  </threadedComment>
  <threadedComment ref="F282" dT="2025-11-25T17:15:24.97" personId="{52838438-22C5-4396-BBB1-42C0F3884DB2}" id="{B9FDF63C-EB68-4C3A-930F-C6984036BEFB}">
    <text>Scaling factor for meat-diet followers</text>
  </threadedComment>
</ThreadedComments>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2.xml"/><Relationship Id="rId1" Type="http://schemas.openxmlformats.org/officeDocument/2006/relationships/printerSettings" Target="../printerSettings/printerSettings2.bin"/><Relationship Id="rId4"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4.bin"/><Relationship Id="rId4" Type="http://schemas.microsoft.com/office/2017/10/relationships/threadedComment" Target="../threadedComments/threadedComment1.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91"/>
  <sheetViews>
    <sheetView topLeftCell="A12" zoomScale="120" zoomScaleNormal="120" workbookViewId="0">
      <selection activeCell="F56" sqref="F56"/>
    </sheetView>
  </sheetViews>
  <sheetFormatPr defaultRowHeight="14.4"/>
  <cols>
    <col min="1" max="1" width="49.33203125" bestFit="1" customWidth="1"/>
    <col min="2" max="2" width="37.6640625" bestFit="1" customWidth="1"/>
    <col min="3" max="3" width="9" customWidth="1"/>
    <col min="4" max="4" width="12" customWidth="1"/>
    <col min="5" max="5" width="9" customWidth="1"/>
    <col min="6" max="6" width="22" style="12" bestFit="1" customWidth="1"/>
    <col min="7" max="7" width="44.6640625" style="51" bestFit="1" customWidth="1"/>
    <col min="9" max="9" width="11.88671875" bestFit="1" customWidth="1"/>
  </cols>
  <sheetData>
    <row r="1" spans="1:7" s="51" customFormat="1">
      <c r="A1" s="72" t="s">
        <v>0</v>
      </c>
      <c r="B1" s="72" t="s">
        <v>213</v>
      </c>
      <c r="C1" s="72">
        <v>1900</v>
      </c>
      <c r="D1" s="72">
        <v>1960</v>
      </c>
      <c r="E1" s="72">
        <v>2016</v>
      </c>
      <c r="F1" s="72" t="s">
        <v>127</v>
      </c>
      <c r="G1" s="72" t="s">
        <v>317</v>
      </c>
    </row>
    <row r="2" spans="1:7">
      <c r="A2" s="31" t="s">
        <v>1</v>
      </c>
      <c r="B2" t="s">
        <v>181</v>
      </c>
      <c r="C2">
        <v>5.5619399063289165E-4</v>
      </c>
      <c r="D2">
        <v>8.282465860247612E-3</v>
      </c>
      <c r="E2">
        <v>1.5238970518112183E-2</v>
      </c>
      <c r="F2" s="70">
        <v>5.5619399063289165E-4</v>
      </c>
      <c r="G2" s="51" t="s">
        <v>218</v>
      </c>
    </row>
    <row r="3" spans="1:7">
      <c r="A3" s="31" t="s">
        <v>2</v>
      </c>
      <c r="B3" t="s">
        <v>182</v>
      </c>
      <c r="C3">
        <v>1.0046600103378296</v>
      </c>
      <c r="D3">
        <v>1.4434551000595093</v>
      </c>
      <c r="E3">
        <v>1.9190798997879028</v>
      </c>
      <c r="F3" s="70">
        <v>1.0046600103378296</v>
      </c>
      <c r="G3" s="51" t="s">
        <v>219</v>
      </c>
    </row>
    <row r="4" spans="1:7">
      <c r="A4" s="31" t="s">
        <v>3</v>
      </c>
      <c r="B4" t="s">
        <v>183</v>
      </c>
      <c r="C4">
        <v>1300000014336</v>
      </c>
      <c r="D4">
        <v>17463911645184</v>
      </c>
      <c r="E4">
        <v>107735697850368</v>
      </c>
      <c r="F4" s="70">
        <v>1300000014336</v>
      </c>
      <c r="G4" s="51" t="s">
        <v>220</v>
      </c>
    </row>
    <row r="5" spans="1:7">
      <c r="A5" s="31" t="s">
        <v>4</v>
      </c>
      <c r="B5" t="s">
        <v>184</v>
      </c>
      <c r="C5">
        <v>1300000014336</v>
      </c>
      <c r="D5">
        <v>17463911645184</v>
      </c>
      <c r="E5">
        <v>107735697850368</v>
      </c>
      <c r="F5" s="70">
        <v>1300000014336</v>
      </c>
      <c r="G5" s="51" t="s">
        <v>221</v>
      </c>
    </row>
    <row r="6" spans="1:7">
      <c r="A6" s="31" t="s">
        <v>5</v>
      </c>
      <c r="B6" t="s">
        <v>185</v>
      </c>
      <c r="C6">
        <v>40000000000</v>
      </c>
      <c r="D6">
        <v>398408581120</v>
      </c>
      <c r="E6">
        <v>3395457122304</v>
      </c>
      <c r="F6" s="70">
        <v>40000000000</v>
      </c>
      <c r="G6" s="51" t="s">
        <v>222</v>
      </c>
    </row>
    <row r="7" spans="1:7">
      <c r="A7" s="31" t="s">
        <v>6</v>
      </c>
      <c r="B7" t="s">
        <v>186</v>
      </c>
      <c r="C7">
        <v>0.28999999165534973</v>
      </c>
      <c r="D7">
        <v>0.36559879779815674</v>
      </c>
      <c r="E7">
        <v>0.65961617231369019</v>
      </c>
      <c r="F7" s="70">
        <v>0.28999999165534973</v>
      </c>
      <c r="G7" s="51" t="s">
        <v>223</v>
      </c>
    </row>
    <row r="8" spans="1:7">
      <c r="A8" s="31" t="s">
        <v>7</v>
      </c>
      <c r="B8" t="s">
        <v>187</v>
      </c>
      <c r="C8">
        <v>6.5370001792907715</v>
      </c>
      <c r="D8">
        <v>586.757568359375</v>
      </c>
      <c r="E8">
        <v>4474.57177734375</v>
      </c>
      <c r="F8" s="70">
        <v>6.5370001792907715</v>
      </c>
      <c r="G8" s="51" t="s">
        <v>224</v>
      </c>
    </row>
    <row r="9" spans="1:7">
      <c r="A9" s="31" t="s">
        <v>8</v>
      </c>
      <c r="B9" t="s">
        <v>188</v>
      </c>
      <c r="C9">
        <v>0</v>
      </c>
      <c r="D9">
        <v>8013.423828125</v>
      </c>
      <c r="E9">
        <v>142536.859375</v>
      </c>
      <c r="F9" s="70">
        <v>0</v>
      </c>
      <c r="G9" s="51" t="s">
        <v>225</v>
      </c>
    </row>
    <row r="10" spans="1:7">
      <c r="A10" s="31" t="s">
        <v>9</v>
      </c>
      <c r="B10" t="s">
        <v>190</v>
      </c>
      <c r="C10">
        <v>1250679936</v>
      </c>
      <c r="D10">
        <v>8083428864</v>
      </c>
      <c r="E10">
        <v>19753836544</v>
      </c>
      <c r="F10" s="70">
        <v>1250679936</v>
      </c>
      <c r="G10" s="51" t="s">
        <v>226</v>
      </c>
    </row>
    <row r="11" spans="1:7">
      <c r="A11" s="31" t="s">
        <v>10</v>
      </c>
      <c r="B11" t="s">
        <v>191</v>
      </c>
      <c r="C11">
        <v>125068000</v>
      </c>
      <c r="D11">
        <v>346804256</v>
      </c>
      <c r="E11">
        <v>2170473216</v>
      </c>
      <c r="F11" s="70">
        <v>125068000</v>
      </c>
      <c r="G11" s="51" t="s">
        <v>227</v>
      </c>
    </row>
    <row r="12" spans="1:7">
      <c r="A12" s="31" t="s">
        <v>11</v>
      </c>
      <c r="B12" t="s">
        <v>192</v>
      </c>
      <c r="C12">
        <v>5.2000000141561031E-3</v>
      </c>
      <c r="D12">
        <v>0.17969256639480591</v>
      </c>
      <c r="E12">
        <v>0.20905607938766499</v>
      </c>
      <c r="F12" s="70">
        <v>5.2000000141561031E-3</v>
      </c>
      <c r="G12" s="51" t="s">
        <v>228</v>
      </c>
    </row>
    <row r="13" spans="1:7">
      <c r="A13" s="31" t="s">
        <v>12</v>
      </c>
      <c r="B13" t="s">
        <v>195</v>
      </c>
      <c r="C13">
        <v>0</v>
      </c>
      <c r="D13">
        <v>4.3460636138916016</v>
      </c>
      <c r="E13">
        <v>18.692829132080078</v>
      </c>
      <c r="F13" s="70">
        <v>0</v>
      </c>
      <c r="G13" s="51" t="s">
        <v>229</v>
      </c>
    </row>
    <row r="14" spans="1:7">
      <c r="A14" s="31" t="s">
        <v>13</v>
      </c>
      <c r="B14" t="s">
        <v>196</v>
      </c>
      <c r="C14">
        <v>0</v>
      </c>
      <c r="D14">
        <v>3.9418850094079971E-2</v>
      </c>
      <c r="E14">
        <v>0.94839990139007568</v>
      </c>
      <c r="F14" s="70">
        <v>0</v>
      </c>
      <c r="G14" s="51" t="s">
        <v>230</v>
      </c>
    </row>
    <row r="15" spans="1:7">
      <c r="A15" s="50" t="s">
        <v>14</v>
      </c>
      <c r="B15" s="50" t="s">
        <v>175</v>
      </c>
      <c r="C15" s="50">
        <v>375000</v>
      </c>
      <c r="D15" s="50">
        <v>287111.21875</v>
      </c>
      <c r="E15" s="50">
        <v>59662.05078125</v>
      </c>
      <c r="F15" s="71">
        <v>375000</v>
      </c>
      <c r="G15" s="55" t="s">
        <v>231</v>
      </c>
    </row>
    <row r="16" spans="1:7">
      <c r="A16" s="31" t="s">
        <v>15</v>
      </c>
      <c r="B16" t="s">
        <v>199</v>
      </c>
      <c r="C16">
        <v>1.8702800273895264</v>
      </c>
      <c r="D16">
        <v>140.49781799316406</v>
      </c>
      <c r="E16">
        <v>3191.5546875</v>
      </c>
      <c r="F16" s="70">
        <v>1.8702800273895264</v>
      </c>
      <c r="G16" s="51" t="s">
        <v>232</v>
      </c>
    </row>
    <row r="17" spans="1:9">
      <c r="A17" s="31" t="s">
        <v>16</v>
      </c>
      <c r="B17" t="s">
        <v>189</v>
      </c>
      <c r="C17">
        <v>0</v>
      </c>
      <c r="D17">
        <v>1297.64501953125</v>
      </c>
      <c r="E17">
        <v>75842.828125</v>
      </c>
      <c r="F17" s="70">
        <v>0</v>
      </c>
      <c r="G17" s="51" t="s">
        <v>233</v>
      </c>
    </row>
    <row r="18" spans="1:9">
      <c r="A18" s="31" t="s">
        <v>17</v>
      </c>
      <c r="B18" t="s">
        <v>193</v>
      </c>
      <c r="C18">
        <v>90816400</v>
      </c>
      <c r="D18">
        <v>13799464960</v>
      </c>
      <c r="E18">
        <v>14067481600</v>
      </c>
      <c r="F18" s="70">
        <v>90816400</v>
      </c>
      <c r="G18" s="51" t="s">
        <v>234</v>
      </c>
      <c r="I18">
        <f>F6/5</f>
        <v>8000000000</v>
      </c>
    </row>
    <row r="19" spans="1:9">
      <c r="A19" s="31" t="s">
        <v>18</v>
      </c>
      <c r="B19" t="s">
        <v>200</v>
      </c>
      <c r="C19">
        <v>9081650</v>
      </c>
      <c r="D19">
        <v>536905792</v>
      </c>
      <c r="E19">
        <v>3708906240</v>
      </c>
      <c r="F19" s="70">
        <v>9081650</v>
      </c>
      <c r="G19" s="51" t="s">
        <v>235</v>
      </c>
    </row>
    <row r="20" spans="1:9">
      <c r="A20" s="31" t="s">
        <v>19</v>
      </c>
      <c r="B20" t="s">
        <v>201</v>
      </c>
      <c r="C20">
        <v>2.0594099536538124E-2</v>
      </c>
      <c r="D20">
        <v>2.8800791129469872E-2</v>
      </c>
      <c r="E20">
        <v>8.827664703130722E-2</v>
      </c>
      <c r="F20" s="70">
        <v>2.0594099536538124E-2</v>
      </c>
      <c r="G20" s="51" t="s">
        <v>236</v>
      </c>
    </row>
    <row r="21" spans="1:9">
      <c r="A21" s="31" t="s">
        <v>20</v>
      </c>
      <c r="B21" t="s">
        <v>197</v>
      </c>
      <c r="C21">
        <v>0</v>
      </c>
      <c r="D21">
        <v>1.7777636051177979</v>
      </c>
      <c r="E21">
        <v>9.100703239440918</v>
      </c>
      <c r="F21" s="70">
        <v>0</v>
      </c>
      <c r="G21" s="51" t="s">
        <v>237</v>
      </c>
    </row>
    <row r="22" spans="1:9">
      <c r="A22" s="31" t="s">
        <v>21</v>
      </c>
      <c r="B22" t="s">
        <v>198</v>
      </c>
      <c r="C22">
        <v>0</v>
      </c>
      <c r="D22">
        <v>1.3341157697141171E-2</v>
      </c>
      <c r="E22">
        <v>0.56097471714019775</v>
      </c>
      <c r="F22" s="70">
        <v>0</v>
      </c>
      <c r="G22" s="51" t="s">
        <v>238</v>
      </c>
    </row>
    <row r="23" spans="1:9">
      <c r="A23" s="50" t="s">
        <v>22</v>
      </c>
      <c r="B23" s="50" t="s">
        <v>176</v>
      </c>
      <c r="C23" s="50">
        <v>325000</v>
      </c>
      <c r="D23" s="50">
        <v>211577.34375</v>
      </c>
      <c r="E23" s="50">
        <v>66863.4375</v>
      </c>
      <c r="F23" s="71">
        <v>325000</v>
      </c>
      <c r="G23" s="55" t="s">
        <v>239</v>
      </c>
    </row>
    <row r="24" spans="1:9">
      <c r="A24" s="31" t="s">
        <v>23</v>
      </c>
      <c r="B24" t="s">
        <v>202</v>
      </c>
      <c r="C24">
        <v>191.40400695800781</v>
      </c>
      <c r="D24">
        <v>881.6268310546875</v>
      </c>
      <c r="E24">
        <v>2582.429443359375</v>
      </c>
      <c r="F24" s="70">
        <v>191.40400695800781</v>
      </c>
      <c r="G24" s="51" t="s">
        <v>240</v>
      </c>
    </row>
    <row r="25" spans="1:9">
      <c r="A25" s="31" t="s">
        <v>24</v>
      </c>
      <c r="B25" t="s">
        <v>203</v>
      </c>
      <c r="C25">
        <v>1.8853700021281838E-3</v>
      </c>
      <c r="D25">
        <v>4.1765063069760799E-3</v>
      </c>
      <c r="E25">
        <v>6.8235672079026699E-3</v>
      </c>
      <c r="F25" s="70">
        <v>1.8853700021281838E-3</v>
      </c>
      <c r="G25" s="51" t="s">
        <v>241</v>
      </c>
    </row>
    <row r="26" spans="1:9">
      <c r="A26" s="31" t="s">
        <v>25</v>
      </c>
      <c r="B26" t="s">
        <v>204</v>
      </c>
      <c r="C26">
        <v>37630</v>
      </c>
      <c r="D26">
        <v>67233.03125</v>
      </c>
      <c r="E26">
        <v>155715.171875</v>
      </c>
      <c r="F26" s="70">
        <v>37630</v>
      </c>
      <c r="G26" s="51" t="s">
        <v>242</v>
      </c>
    </row>
    <row r="27" spans="1:9">
      <c r="A27" s="31" t="s">
        <v>26</v>
      </c>
      <c r="B27" t="s">
        <v>205</v>
      </c>
      <c r="C27">
        <v>101518000128</v>
      </c>
      <c r="D27">
        <v>86863757312</v>
      </c>
      <c r="E27">
        <v>193878605824</v>
      </c>
      <c r="F27" s="70">
        <v>101518000128</v>
      </c>
      <c r="G27" s="51" t="s">
        <v>243</v>
      </c>
    </row>
    <row r="28" spans="1:9">
      <c r="A28" s="31" t="s">
        <v>27</v>
      </c>
      <c r="B28" t="s">
        <v>194</v>
      </c>
      <c r="C28">
        <v>10152099840</v>
      </c>
      <c r="D28">
        <v>21437603840</v>
      </c>
      <c r="E28">
        <v>38530240512</v>
      </c>
      <c r="F28" s="70">
        <v>10152099840</v>
      </c>
      <c r="G28" s="51" t="s">
        <v>244</v>
      </c>
    </row>
    <row r="29" spans="1:9">
      <c r="A29" s="31" t="s">
        <v>28</v>
      </c>
      <c r="B29" t="s">
        <v>206</v>
      </c>
      <c r="C29">
        <v>0</v>
      </c>
      <c r="D29">
        <v>0.87524664402008057</v>
      </c>
      <c r="E29">
        <v>2.0946388244628906</v>
      </c>
      <c r="F29" s="12">
        <v>0</v>
      </c>
      <c r="G29" s="51" t="s">
        <v>245</v>
      </c>
    </row>
    <row r="30" spans="1:9">
      <c r="A30" s="31" t="s">
        <v>29</v>
      </c>
      <c r="B30" t="s">
        <v>207</v>
      </c>
      <c r="C30">
        <v>0</v>
      </c>
      <c r="D30">
        <v>8.7889373302459717E-2</v>
      </c>
      <c r="E30">
        <v>0.4345850944519043</v>
      </c>
      <c r="F30" s="12">
        <v>0</v>
      </c>
      <c r="G30" s="51" t="s">
        <v>246</v>
      </c>
    </row>
    <row r="31" spans="1:9">
      <c r="A31" s="50" t="s">
        <v>30</v>
      </c>
      <c r="B31" s="50" t="s">
        <v>177</v>
      </c>
      <c r="C31" s="50">
        <v>400000</v>
      </c>
      <c r="D31" s="50">
        <v>285321.78125</v>
      </c>
      <c r="E31" s="50">
        <v>153034.5625</v>
      </c>
      <c r="F31" s="50">
        <v>400000</v>
      </c>
      <c r="G31" s="55" t="s">
        <v>247</v>
      </c>
    </row>
    <row r="32" spans="1:9">
      <c r="A32" s="31" t="s">
        <v>31</v>
      </c>
      <c r="B32" t="s">
        <v>128</v>
      </c>
      <c r="C32">
        <v>40</v>
      </c>
      <c r="D32">
        <v>725.76727294921875</v>
      </c>
      <c r="E32">
        <v>4145.4794921875</v>
      </c>
      <c r="F32" s="12">
        <v>40</v>
      </c>
      <c r="G32" s="51" t="s">
        <v>248</v>
      </c>
    </row>
    <row r="33" spans="1:7">
      <c r="A33" s="31" t="s">
        <v>32</v>
      </c>
      <c r="B33" t="s">
        <v>129</v>
      </c>
      <c r="C33">
        <v>0</v>
      </c>
      <c r="D33">
        <v>0.21925890445709229</v>
      </c>
      <c r="E33">
        <v>14.080249786376953</v>
      </c>
      <c r="F33" s="12">
        <v>0</v>
      </c>
      <c r="G33" s="51" t="s">
        <v>249</v>
      </c>
    </row>
    <row r="34" spans="1:7">
      <c r="A34" s="31" t="s">
        <v>33</v>
      </c>
      <c r="B34" t="s">
        <v>130</v>
      </c>
      <c r="C34">
        <v>0</v>
      </c>
      <c r="D34">
        <v>7.0940149016678333E-3</v>
      </c>
      <c r="E34">
        <v>0.57178580760955811</v>
      </c>
      <c r="F34" s="12">
        <v>0</v>
      </c>
      <c r="G34" s="51" t="s">
        <v>250</v>
      </c>
    </row>
    <row r="35" spans="1:7">
      <c r="A35" s="31" t="s">
        <v>34</v>
      </c>
      <c r="B35" t="s">
        <v>131</v>
      </c>
      <c r="C35">
        <v>0</v>
      </c>
      <c r="D35">
        <v>1283.146728515625</v>
      </c>
      <c r="E35">
        <v>13642.9326171875</v>
      </c>
      <c r="F35" s="12">
        <v>0</v>
      </c>
      <c r="G35" s="51" t="s">
        <v>251</v>
      </c>
    </row>
    <row r="36" spans="1:7">
      <c r="A36" s="31" t="s">
        <v>35</v>
      </c>
      <c r="B36" t="s">
        <v>132</v>
      </c>
      <c r="C36">
        <v>0</v>
      </c>
      <c r="D36">
        <v>2.772397518157959</v>
      </c>
      <c r="E36">
        <v>71.187522888183594</v>
      </c>
      <c r="F36" s="12">
        <v>0</v>
      </c>
      <c r="G36" s="51" t="s">
        <v>252</v>
      </c>
    </row>
    <row r="37" spans="1:7">
      <c r="A37" s="31" t="s">
        <v>36</v>
      </c>
      <c r="B37" t="s">
        <v>133</v>
      </c>
      <c r="C37">
        <v>0</v>
      </c>
      <c r="D37">
        <v>3.139137290418148E-3</v>
      </c>
      <c r="E37">
        <v>0.37149429321289063</v>
      </c>
      <c r="F37" s="12">
        <v>0</v>
      </c>
      <c r="G37" s="51" t="s">
        <v>253</v>
      </c>
    </row>
    <row r="38" spans="1:7">
      <c r="A38" s="31" t="s">
        <v>37</v>
      </c>
      <c r="B38" t="s">
        <v>134</v>
      </c>
      <c r="C38">
        <v>0</v>
      </c>
      <c r="D38">
        <v>2.5289886980317533E-4</v>
      </c>
      <c r="E38">
        <v>4.1124749928712845E-2</v>
      </c>
      <c r="F38" s="12">
        <v>0</v>
      </c>
      <c r="G38" s="51" t="s">
        <v>254</v>
      </c>
    </row>
    <row r="39" spans="1:7">
      <c r="A39" s="31" t="s">
        <v>38</v>
      </c>
      <c r="B39" t="s">
        <v>135</v>
      </c>
      <c r="C39">
        <v>400</v>
      </c>
      <c r="D39">
        <v>42040484</v>
      </c>
      <c r="E39">
        <v>627331520</v>
      </c>
      <c r="F39" s="12">
        <v>400</v>
      </c>
      <c r="G39" s="51" t="s">
        <v>255</v>
      </c>
    </row>
    <row r="40" spans="1:7">
      <c r="A40" s="31" t="s">
        <v>39</v>
      </c>
      <c r="B40" t="s">
        <v>136</v>
      </c>
      <c r="C40">
        <v>0</v>
      </c>
      <c r="D40">
        <v>2.252863883972168</v>
      </c>
      <c r="E40">
        <v>56.78564453125</v>
      </c>
      <c r="F40" s="12">
        <v>0</v>
      </c>
      <c r="G40" s="51" t="s">
        <v>256</v>
      </c>
    </row>
    <row r="41" spans="1:7">
      <c r="A41" s="31" t="s">
        <v>40</v>
      </c>
      <c r="B41" t="s">
        <v>137</v>
      </c>
      <c r="C41">
        <v>0</v>
      </c>
      <c r="D41">
        <v>2.8604357503354549E-3</v>
      </c>
      <c r="E41">
        <v>0.33601632714271545</v>
      </c>
      <c r="F41" s="12">
        <v>0</v>
      </c>
      <c r="G41" s="51" t="s">
        <v>257</v>
      </c>
    </row>
    <row r="42" spans="1:7">
      <c r="A42" s="31" t="s">
        <v>41</v>
      </c>
      <c r="B42" t="s">
        <v>138</v>
      </c>
      <c r="C42">
        <v>0</v>
      </c>
      <c r="D42">
        <v>2.3244539625011384E-4</v>
      </c>
      <c r="E42">
        <v>3.6985866725444794E-2</v>
      </c>
      <c r="F42" s="12">
        <v>0</v>
      </c>
      <c r="G42" s="51" t="s">
        <v>258</v>
      </c>
    </row>
    <row r="43" spans="1:7">
      <c r="A43" s="31" t="s">
        <v>42</v>
      </c>
      <c r="B43" t="s">
        <v>139</v>
      </c>
      <c r="C43">
        <v>4000</v>
      </c>
      <c r="D43">
        <v>122378264</v>
      </c>
      <c r="E43">
        <v>1995667840</v>
      </c>
      <c r="F43" s="12">
        <v>4000</v>
      </c>
      <c r="G43" s="51" t="s">
        <v>259</v>
      </c>
    </row>
    <row r="44" spans="1:7">
      <c r="A44" s="31" t="s">
        <v>43</v>
      </c>
      <c r="B44" t="s">
        <v>140</v>
      </c>
      <c r="C44">
        <v>500</v>
      </c>
      <c r="D44">
        <v>595.3424072265625</v>
      </c>
      <c r="E44">
        <v>524.65167236328125</v>
      </c>
      <c r="F44" s="12">
        <v>500</v>
      </c>
      <c r="G44" s="51" t="s">
        <v>260</v>
      </c>
    </row>
    <row r="45" spans="1:7">
      <c r="A45" s="31" t="s">
        <v>44</v>
      </c>
      <c r="B45" t="s">
        <v>141</v>
      </c>
      <c r="C45">
        <v>4</v>
      </c>
      <c r="D45">
        <v>88.866790771484375</v>
      </c>
      <c r="E45">
        <v>138.18049621582031</v>
      </c>
      <c r="F45" s="12">
        <v>4</v>
      </c>
      <c r="G45" s="51" t="s">
        <v>261</v>
      </c>
    </row>
    <row r="46" spans="1:7">
      <c r="A46" s="31" t="s">
        <v>45</v>
      </c>
      <c r="B46" t="s">
        <v>142</v>
      </c>
      <c r="C46">
        <v>50000</v>
      </c>
      <c r="D46">
        <v>32.904266357421875</v>
      </c>
      <c r="E46">
        <v>10.632683753967285</v>
      </c>
      <c r="F46" s="12">
        <v>50000</v>
      </c>
      <c r="G46" s="51" t="s">
        <v>262</v>
      </c>
    </row>
    <row r="47" spans="1:7">
      <c r="A47" s="31" t="s">
        <v>46</v>
      </c>
      <c r="B47" t="s">
        <v>143</v>
      </c>
      <c r="C47">
        <v>35</v>
      </c>
      <c r="D47">
        <v>8.0460853576660156</v>
      </c>
      <c r="E47">
        <v>12.455719947814941</v>
      </c>
      <c r="F47" s="12">
        <v>35</v>
      </c>
      <c r="G47" s="51" t="s">
        <v>263</v>
      </c>
    </row>
    <row r="48" spans="1:7">
      <c r="A48" s="31" t="s">
        <v>47</v>
      </c>
      <c r="B48" t="s">
        <v>144</v>
      </c>
      <c r="C48">
        <v>50000</v>
      </c>
      <c r="D48">
        <v>10584.00390625</v>
      </c>
      <c r="E48">
        <v>7645.97314453125</v>
      </c>
      <c r="F48" s="12">
        <v>50000</v>
      </c>
      <c r="G48" s="51" t="s">
        <v>264</v>
      </c>
    </row>
    <row r="49" spans="1:9">
      <c r="A49" s="31" t="s">
        <v>48</v>
      </c>
      <c r="B49" t="s">
        <v>145</v>
      </c>
      <c r="C49">
        <v>50000</v>
      </c>
      <c r="D49">
        <v>12677.4970703125</v>
      </c>
      <c r="E49">
        <v>9278.9130859375</v>
      </c>
      <c r="F49" s="12">
        <v>50000</v>
      </c>
      <c r="G49" s="51" t="s">
        <v>265</v>
      </c>
    </row>
    <row r="50" spans="1:9">
      <c r="A50" s="31" t="s">
        <v>49</v>
      </c>
      <c r="B50" t="s">
        <v>146</v>
      </c>
      <c r="C50">
        <v>4400000000</v>
      </c>
      <c r="D50">
        <v>4377717760</v>
      </c>
      <c r="E50">
        <v>5000569344</v>
      </c>
      <c r="F50" s="12">
        <v>4400000000</v>
      </c>
      <c r="G50" s="51" t="s">
        <v>266</v>
      </c>
    </row>
    <row r="51" spans="1:9">
      <c r="A51" s="31" t="s">
        <v>50</v>
      </c>
      <c r="B51" t="s">
        <v>147</v>
      </c>
      <c r="C51">
        <v>4400000000</v>
      </c>
      <c r="D51">
        <v>4396253696</v>
      </c>
      <c r="E51">
        <v>3792064512</v>
      </c>
      <c r="F51" s="12">
        <v>4400000000</v>
      </c>
      <c r="G51" s="51" t="s">
        <v>267</v>
      </c>
    </row>
    <row r="52" spans="1:9">
      <c r="A52" s="31" t="s">
        <v>51</v>
      </c>
      <c r="B52" t="s">
        <v>148</v>
      </c>
      <c r="C52">
        <v>282254</v>
      </c>
      <c r="D52">
        <v>41391100</v>
      </c>
      <c r="E52">
        <v>483835136</v>
      </c>
      <c r="F52" s="12">
        <v>282254</v>
      </c>
      <c r="G52" s="51" t="s">
        <v>268</v>
      </c>
    </row>
    <row r="53" spans="1:9">
      <c r="A53" s="36" t="s">
        <v>52</v>
      </c>
      <c r="B53" s="36" t="s">
        <v>208</v>
      </c>
      <c r="C53" s="36">
        <v>0.5</v>
      </c>
      <c r="D53" s="36">
        <v>1.5800008773803711</v>
      </c>
      <c r="E53" s="36">
        <v>2.5879924297332764</v>
      </c>
      <c r="F53" s="36">
        <v>0.5</v>
      </c>
      <c r="G53" s="59" t="s">
        <v>269</v>
      </c>
    </row>
    <row r="54" spans="1:9">
      <c r="A54" s="31" t="s">
        <v>53</v>
      </c>
      <c r="B54" t="s">
        <v>209</v>
      </c>
      <c r="C54">
        <v>1</v>
      </c>
      <c r="D54">
        <v>1.0599956512451172</v>
      </c>
      <c r="E54">
        <v>1.1159915924072266</v>
      </c>
      <c r="F54" s="12">
        <v>1</v>
      </c>
      <c r="G54" s="51" t="s">
        <v>270</v>
      </c>
    </row>
    <row r="55" spans="1:9">
      <c r="A55" s="31" t="s">
        <v>54</v>
      </c>
      <c r="B55" t="s">
        <v>149</v>
      </c>
      <c r="C55">
        <v>4100000000</v>
      </c>
      <c r="D55">
        <v>4126026752</v>
      </c>
      <c r="E55">
        <v>4104149504</v>
      </c>
      <c r="F55" s="12">
        <v>4100000000</v>
      </c>
      <c r="G55" s="51" t="s">
        <v>271</v>
      </c>
    </row>
    <row r="56" spans="1:9">
      <c r="A56" s="31" t="s">
        <v>55</v>
      </c>
      <c r="B56" t="s">
        <v>150</v>
      </c>
      <c r="C56">
        <v>4000000</v>
      </c>
      <c r="D56">
        <v>4000000</v>
      </c>
      <c r="E56">
        <v>7213335</v>
      </c>
      <c r="F56" s="12">
        <v>4000000</v>
      </c>
      <c r="G56" s="51" t="s">
        <v>272</v>
      </c>
    </row>
    <row r="57" spans="1:9">
      <c r="A57" s="36" t="s">
        <v>56</v>
      </c>
      <c r="B57" s="36" t="s">
        <v>152</v>
      </c>
      <c r="C57" s="36">
        <v>606411096064</v>
      </c>
      <c r="D57" s="58">
        <v>651000000000</v>
      </c>
      <c r="E57" s="58">
        <v>834000000000</v>
      </c>
      <c r="F57" s="36">
        <v>606411096064</v>
      </c>
      <c r="G57" s="59" t="s">
        <v>273</v>
      </c>
    </row>
    <row r="58" spans="1:9" ht="15" customHeight="1">
      <c r="A58" s="50" t="s">
        <v>57</v>
      </c>
      <c r="B58" s="50" t="s">
        <v>151</v>
      </c>
      <c r="C58" s="50">
        <v>911547105280</v>
      </c>
      <c r="D58" s="50">
        <v>976363716608</v>
      </c>
      <c r="E58" s="50">
        <v>1154177302528</v>
      </c>
      <c r="F58" s="50">
        <v>911547105280</v>
      </c>
      <c r="G58" s="55" t="s">
        <v>274</v>
      </c>
      <c r="H58" s="52"/>
      <c r="I58" s="52"/>
    </row>
    <row r="59" spans="1:9">
      <c r="A59" s="50" t="s">
        <v>58</v>
      </c>
      <c r="B59" s="50" t="s">
        <v>153</v>
      </c>
      <c r="C59" s="50">
        <v>3115000004608</v>
      </c>
      <c r="D59" s="50">
        <v>3122950307840</v>
      </c>
      <c r="E59" s="50">
        <v>3219568984064</v>
      </c>
      <c r="F59" s="50">
        <v>3115000004608</v>
      </c>
      <c r="G59" s="55" t="s">
        <v>275</v>
      </c>
      <c r="H59" s="52"/>
      <c r="I59" s="52"/>
    </row>
    <row r="60" spans="1:9">
      <c r="A60" s="50" t="s">
        <v>59</v>
      </c>
      <c r="B60" s="50" t="s">
        <v>154</v>
      </c>
      <c r="C60" s="50">
        <v>3099000045568</v>
      </c>
      <c r="D60" s="50">
        <v>3105066057728</v>
      </c>
      <c r="E60" s="50">
        <v>3161257148416</v>
      </c>
      <c r="F60" s="50">
        <v>3099000045568</v>
      </c>
      <c r="G60" s="55" t="s">
        <v>276</v>
      </c>
      <c r="H60" s="52"/>
      <c r="I60" s="52"/>
    </row>
    <row r="61" spans="1:9">
      <c r="A61" s="50" t="s">
        <v>60</v>
      </c>
      <c r="B61" s="50" t="s">
        <v>155</v>
      </c>
      <c r="C61" s="50">
        <v>13355999821824</v>
      </c>
      <c r="D61" s="50">
        <v>13370122043392</v>
      </c>
      <c r="E61" s="50">
        <v>13405878484992</v>
      </c>
      <c r="F61" s="50">
        <v>13355999821824</v>
      </c>
      <c r="G61" s="55" t="s">
        <v>277</v>
      </c>
      <c r="H61" s="52"/>
      <c r="I61" s="52"/>
    </row>
    <row r="62" spans="1:9">
      <c r="A62" s="50" t="s">
        <v>61</v>
      </c>
      <c r="B62" s="50" t="s">
        <v>156</v>
      </c>
      <c r="C62" s="50">
        <v>18476999639040</v>
      </c>
      <c r="D62" s="50">
        <v>18479340060672</v>
      </c>
      <c r="E62" s="50">
        <v>18483815383040</v>
      </c>
      <c r="F62" s="50">
        <v>18476999639040</v>
      </c>
      <c r="G62" s="55" t="s">
        <v>278</v>
      </c>
      <c r="H62" s="52"/>
      <c r="I62" s="52"/>
    </row>
    <row r="63" spans="1:9">
      <c r="A63" s="50" t="s">
        <v>62</v>
      </c>
      <c r="B63" s="50" t="s">
        <v>157</v>
      </c>
      <c r="C63" s="50">
        <v>1023202885632</v>
      </c>
      <c r="D63" s="50">
        <v>1061341233152</v>
      </c>
      <c r="E63" s="50">
        <v>1188783194112</v>
      </c>
      <c r="F63" s="50">
        <v>1023202885632</v>
      </c>
      <c r="G63" s="55" t="s">
        <v>279</v>
      </c>
      <c r="H63" s="52"/>
      <c r="I63" s="52"/>
    </row>
    <row r="64" spans="1:9">
      <c r="A64" s="31" t="s">
        <v>63</v>
      </c>
      <c r="B64" t="s">
        <v>159</v>
      </c>
      <c r="C64" s="49">
        <v>901800000000</v>
      </c>
      <c r="D64" s="49">
        <v>907750000000</v>
      </c>
      <c r="E64" s="49">
        <v>926220000000</v>
      </c>
      <c r="F64" s="12">
        <v>901800000000</v>
      </c>
      <c r="G64" s="51" t="s">
        <v>280</v>
      </c>
    </row>
    <row r="65" spans="1:9">
      <c r="A65" s="31" t="s">
        <v>64</v>
      </c>
      <c r="B65" t="s">
        <v>210</v>
      </c>
      <c r="C65">
        <v>0</v>
      </c>
      <c r="D65">
        <v>0</v>
      </c>
      <c r="E65">
        <v>0</v>
      </c>
      <c r="F65" s="12">
        <v>0</v>
      </c>
      <c r="G65" s="51" t="s">
        <v>281</v>
      </c>
    </row>
    <row r="66" spans="1:9">
      <c r="A66" s="31" t="s">
        <v>65</v>
      </c>
      <c r="B66" t="s">
        <v>312</v>
      </c>
      <c r="C66">
        <v>0</v>
      </c>
      <c r="D66">
        <v>6.5535688399999996</v>
      </c>
      <c r="E66">
        <v>10.99</v>
      </c>
      <c r="F66" s="12">
        <v>0</v>
      </c>
      <c r="G66" s="51" t="s">
        <v>282</v>
      </c>
      <c r="I66" s="53"/>
    </row>
    <row r="67" spans="1:9">
      <c r="A67" s="31" t="s">
        <v>66</v>
      </c>
      <c r="B67" t="s">
        <v>308</v>
      </c>
      <c r="C67">
        <v>0</v>
      </c>
      <c r="D67">
        <v>8.4091587069999996</v>
      </c>
      <c r="E67">
        <v>15.01</v>
      </c>
      <c r="F67" s="12">
        <v>0</v>
      </c>
      <c r="G67" s="51" t="s">
        <v>283</v>
      </c>
      <c r="I67" s="53"/>
    </row>
    <row r="68" spans="1:9">
      <c r="A68" s="31" t="s">
        <v>67</v>
      </c>
      <c r="B68" t="s">
        <v>309</v>
      </c>
      <c r="C68">
        <v>0</v>
      </c>
      <c r="D68">
        <v>3.191606283</v>
      </c>
      <c r="E68">
        <v>6.36</v>
      </c>
      <c r="F68" s="12">
        <v>0</v>
      </c>
      <c r="G68" s="51" t="s">
        <v>284</v>
      </c>
      <c r="I68" s="53"/>
    </row>
    <row r="69" spans="1:9">
      <c r="A69" s="31" t="s">
        <v>68</v>
      </c>
      <c r="B69" t="s">
        <v>310</v>
      </c>
      <c r="C69">
        <v>0</v>
      </c>
      <c r="D69">
        <v>2.045809507</v>
      </c>
      <c r="E69">
        <v>5.91</v>
      </c>
      <c r="F69" s="12">
        <v>0</v>
      </c>
      <c r="G69" s="51" t="s">
        <v>285</v>
      </c>
      <c r="I69" s="53"/>
    </row>
    <row r="70" spans="1:9">
      <c r="A70" s="31" t="s">
        <v>69</v>
      </c>
      <c r="B70" t="s">
        <v>311</v>
      </c>
      <c r="C70">
        <v>0</v>
      </c>
      <c r="D70">
        <v>0.277971625</v>
      </c>
      <c r="E70">
        <v>1.45</v>
      </c>
      <c r="F70" s="12">
        <v>0</v>
      </c>
      <c r="G70" s="51" t="s">
        <v>286</v>
      </c>
      <c r="I70" s="53"/>
    </row>
    <row r="71" spans="1:9">
      <c r="A71" s="31" t="s">
        <v>70</v>
      </c>
      <c r="B71" t="s">
        <v>158</v>
      </c>
      <c r="C71">
        <v>4200000126976</v>
      </c>
      <c r="D71">
        <v>4197368725504</v>
      </c>
      <c r="E71">
        <v>4159418138624</v>
      </c>
      <c r="F71" s="12">
        <v>4200000126976</v>
      </c>
      <c r="G71" s="51" t="s">
        <v>287</v>
      </c>
      <c r="I71" s="53"/>
    </row>
    <row r="72" spans="1:9">
      <c r="A72" s="31" t="s">
        <v>71</v>
      </c>
      <c r="B72" t="s">
        <v>313</v>
      </c>
      <c r="C72">
        <v>85</v>
      </c>
      <c r="D72">
        <v>79.130867004394531</v>
      </c>
      <c r="E72">
        <v>70.015701293945313</v>
      </c>
      <c r="F72" s="12">
        <v>85</v>
      </c>
      <c r="G72" s="51" t="s">
        <v>288</v>
      </c>
      <c r="I72" s="53"/>
    </row>
    <row r="73" spans="1:9">
      <c r="A73" s="31" t="s">
        <v>72</v>
      </c>
      <c r="B73" t="s">
        <v>314</v>
      </c>
      <c r="C73">
        <v>0</v>
      </c>
      <c r="D73">
        <v>12505328</v>
      </c>
      <c r="E73">
        <v>57010420</v>
      </c>
      <c r="F73" s="12">
        <v>0</v>
      </c>
      <c r="G73" s="51" t="s">
        <v>289</v>
      </c>
      <c r="I73" s="53"/>
    </row>
    <row r="74" spans="1:9">
      <c r="A74" s="31" t="s">
        <v>73</v>
      </c>
      <c r="B74" t="s">
        <v>315</v>
      </c>
      <c r="C74">
        <v>16000000000</v>
      </c>
      <c r="D74">
        <v>14261547008</v>
      </c>
      <c r="E74">
        <v>49652064256</v>
      </c>
      <c r="F74" s="12">
        <v>16000000000</v>
      </c>
      <c r="G74" s="51" t="s">
        <v>290</v>
      </c>
      <c r="I74" s="53"/>
    </row>
    <row r="75" spans="1:9">
      <c r="A75" s="31" t="s">
        <v>74</v>
      </c>
      <c r="B75" t="s">
        <v>160</v>
      </c>
      <c r="C75">
        <v>50000000</v>
      </c>
      <c r="D75">
        <v>8571746</v>
      </c>
      <c r="E75">
        <v>33577132</v>
      </c>
      <c r="F75" s="12">
        <v>50000000</v>
      </c>
      <c r="G75" s="51" t="s">
        <v>291</v>
      </c>
      <c r="I75" s="53"/>
    </row>
    <row r="76" spans="1:9">
      <c r="A76" s="31" t="s">
        <v>75</v>
      </c>
      <c r="B76" t="s">
        <v>211</v>
      </c>
      <c r="C76">
        <v>0</v>
      </c>
      <c r="D76">
        <v>0</v>
      </c>
      <c r="E76">
        <v>0</v>
      </c>
      <c r="F76" s="12">
        <v>0</v>
      </c>
      <c r="G76" s="51" t="s">
        <v>292</v>
      </c>
      <c r="I76" s="53"/>
    </row>
    <row r="77" spans="1:9">
      <c r="A77" s="54" t="s">
        <v>78</v>
      </c>
      <c r="B77" s="54" t="s">
        <v>76</v>
      </c>
      <c r="C77" s="54">
        <v>0.86375415325164795</v>
      </c>
      <c r="D77" s="54">
        <v>0.96826934814453125</v>
      </c>
      <c r="E77" s="54">
        <v>1.4828667640686035</v>
      </c>
      <c r="F77" s="54">
        <v>0.86375415325164795</v>
      </c>
      <c r="G77" s="57" t="s">
        <v>293</v>
      </c>
      <c r="I77" s="53"/>
    </row>
    <row r="78" spans="1:9">
      <c r="A78" s="54" t="s">
        <v>77</v>
      </c>
      <c r="B78" s="54" t="s">
        <v>316</v>
      </c>
      <c r="C78" s="54">
        <v>0.72408032417297363</v>
      </c>
      <c r="D78" s="54">
        <v>2.5630764961242676</v>
      </c>
      <c r="E78" s="54">
        <v>6.7384366989135742</v>
      </c>
      <c r="F78" s="54">
        <v>0.72408032417297363</v>
      </c>
      <c r="G78" s="57" t="s">
        <v>294</v>
      </c>
      <c r="I78" s="53"/>
    </row>
    <row r="79" spans="1:9">
      <c r="A79" s="36" t="s">
        <v>79</v>
      </c>
      <c r="B79" s="36" t="s">
        <v>80</v>
      </c>
      <c r="C79" s="36">
        <v>2782306048</v>
      </c>
      <c r="D79" s="36">
        <v>3016247552</v>
      </c>
      <c r="E79" s="36">
        <v>3445392384</v>
      </c>
      <c r="F79" s="36">
        <v>2782306048</v>
      </c>
      <c r="G79" s="59" t="s">
        <v>295</v>
      </c>
      <c r="I79" s="53"/>
    </row>
    <row r="80" spans="1:9">
      <c r="A80" s="36" t="s">
        <v>81</v>
      </c>
      <c r="B80" s="36" t="s">
        <v>82</v>
      </c>
      <c r="C80" s="36">
        <v>482069440</v>
      </c>
      <c r="D80" s="36">
        <v>465281536</v>
      </c>
      <c r="E80" s="36">
        <v>548568576</v>
      </c>
      <c r="F80" s="36">
        <v>482069440</v>
      </c>
      <c r="G80" s="59" t="s">
        <v>296</v>
      </c>
      <c r="I80" s="53"/>
    </row>
    <row r="81" spans="1:7">
      <c r="A81" s="36" t="s">
        <v>83</v>
      </c>
      <c r="B81" s="36" t="s">
        <v>84</v>
      </c>
      <c r="C81" s="36">
        <v>463300512</v>
      </c>
      <c r="D81" s="36">
        <v>466090144</v>
      </c>
      <c r="E81" s="36">
        <v>523313920</v>
      </c>
      <c r="F81" s="36">
        <v>463300512</v>
      </c>
      <c r="G81" s="59" t="s">
        <v>297</v>
      </c>
    </row>
    <row r="82" spans="1:7">
      <c r="A82" s="36" t="s">
        <v>85</v>
      </c>
      <c r="B82" s="36" t="s">
        <v>86</v>
      </c>
      <c r="C82" s="36">
        <v>317250880</v>
      </c>
      <c r="D82" s="36">
        <v>321305312</v>
      </c>
      <c r="E82" s="36">
        <v>357904192</v>
      </c>
      <c r="F82" s="36">
        <v>317250880</v>
      </c>
      <c r="G82" s="59" t="s">
        <v>298</v>
      </c>
    </row>
    <row r="83" spans="1:7">
      <c r="A83" s="36" t="s">
        <v>87</v>
      </c>
      <c r="B83" s="36" t="s">
        <v>88</v>
      </c>
      <c r="C83" s="36">
        <v>0</v>
      </c>
      <c r="D83" s="36">
        <v>455121408</v>
      </c>
      <c r="E83" s="36">
        <v>2960562688</v>
      </c>
      <c r="F83" s="36">
        <v>0</v>
      </c>
      <c r="G83" s="59" t="s">
        <v>299</v>
      </c>
    </row>
    <row r="84" spans="1:7">
      <c r="A84" s="54" t="s">
        <v>161</v>
      </c>
      <c r="B84" s="54" t="s">
        <v>212</v>
      </c>
      <c r="C84" s="56">
        <v>414230000</v>
      </c>
      <c r="D84" s="54"/>
      <c r="E84" s="56">
        <v>414230000</v>
      </c>
      <c r="F84" s="54">
        <v>414230000</v>
      </c>
      <c r="G84" s="57" t="s">
        <v>300</v>
      </c>
    </row>
    <row r="85" spans="1:7">
      <c r="A85" s="54" t="s">
        <v>162</v>
      </c>
      <c r="B85" s="54" t="s">
        <v>212</v>
      </c>
      <c r="C85" s="56">
        <v>409740000</v>
      </c>
      <c r="D85" s="54"/>
      <c r="E85" s="56">
        <v>409740000</v>
      </c>
      <c r="F85" s="56">
        <v>409740000</v>
      </c>
      <c r="G85" s="57" t="s">
        <v>301</v>
      </c>
    </row>
    <row r="86" spans="1:7">
      <c r="A86" s="54" t="s">
        <v>163</v>
      </c>
      <c r="B86" s="54" t="s">
        <v>169</v>
      </c>
      <c r="C86" s="54">
        <v>22.930959701538086</v>
      </c>
      <c r="D86" s="54"/>
      <c r="E86" s="54">
        <v>4.1758642196655273</v>
      </c>
      <c r="F86" s="54">
        <v>22.930959701538086</v>
      </c>
      <c r="G86" s="57" t="s">
        <v>302</v>
      </c>
    </row>
    <row r="87" spans="1:7">
      <c r="A87" s="54" t="s">
        <v>164</v>
      </c>
      <c r="B87" s="54" t="s">
        <v>170</v>
      </c>
      <c r="C87" s="54">
        <v>2397.28466796875</v>
      </c>
      <c r="D87" s="54"/>
      <c r="E87" s="54">
        <v>17.994960784912109</v>
      </c>
      <c r="F87" s="54">
        <v>2397.28466796875</v>
      </c>
      <c r="G87" s="57" t="s">
        <v>303</v>
      </c>
    </row>
    <row r="88" spans="1:7">
      <c r="A88" s="54" t="s">
        <v>165</v>
      </c>
      <c r="B88" s="54" t="s">
        <v>171</v>
      </c>
      <c r="C88" s="54">
        <v>0.68910437822341919</v>
      </c>
      <c r="D88" s="54"/>
      <c r="E88" s="54">
        <v>22.600194931030273</v>
      </c>
      <c r="F88" s="54">
        <v>0.68910437822341919</v>
      </c>
      <c r="G88" s="57" t="s">
        <v>304</v>
      </c>
    </row>
    <row r="89" spans="1:7">
      <c r="A89" s="54" t="s">
        <v>166</v>
      </c>
      <c r="B89" s="54" t="s">
        <v>172</v>
      </c>
      <c r="C89" s="54">
        <v>51.672313690185547</v>
      </c>
      <c r="D89" s="54"/>
      <c r="E89" s="54">
        <v>32.815818786621094</v>
      </c>
      <c r="F89" s="54">
        <v>51.672313690185547</v>
      </c>
      <c r="G89" s="57" t="s">
        <v>305</v>
      </c>
    </row>
    <row r="90" spans="1:7">
      <c r="A90" s="54" t="s">
        <v>167</v>
      </c>
      <c r="B90" s="54" t="s">
        <v>173</v>
      </c>
      <c r="C90" s="54">
        <v>0.5017966628074646</v>
      </c>
      <c r="D90" s="54"/>
      <c r="E90" s="54">
        <v>0.37735605239868164</v>
      </c>
      <c r="F90" s="54">
        <v>0.5017966628074646</v>
      </c>
      <c r="G90" s="57" t="s">
        <v>306</v>
      </c>
    </row>
    <row r="91" spans="1:7">
      <c r="A91" s="54" t="s">
        <v>168</v>
      </c>
      <c r="B91" s="54" t="s">
        <v>174</v>
      </c>
      <c r="C91" s="54">
        <v>0.5017966628074646</v>
      </c>
      <c r="D91" s="54"/>
      <c r="E91" s="54">
        <v>0.31892329454421997</v>
      </c>
      <c r="F91" s="54">
        <v>0.5017966628074646</v>
      </c>
      <c r="G91" s="57" t="s">
        <v>307</v>
      </c>
    </row>
  </sheetData>
  <autoFilter ref="A1:I1" xr:uid="{00000000-0001-0000-0000-000000000000}"/>
  <phoneticPr fontId="23" type="noConversion"/>
  <pageMargins left="0.7" right="0.7" top="0.75" bottom="0.75" header="0.3" footer="0.3"/>
  <pageSetup paperSize="9" orientation="portrait" r:id="rId1"/>
  <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X42"/>
  <sheetViews>
    <sheetView workbookViewId="0">
      <selection activeCell="B2" sqref="B2:V3"/>
    </sheetView>
  </sheetViews>
  <sheetFormatPr defaultRowHeight="14.4"/>
  <cols>
    <col min="1" max="1" width="23.5546875" customWidth="1"/>
    <col min="2" max="3" width="9.6640625" bestFit="1" customWidth="1"/>
    <col min="24" max="24" width="11" bestFit="1" customWidth="1"/>
  </cols>
  <sheetData>
    <row r="1" spans="1:24" ht="15" thickBot="1">
      <c r="A1" s="1">
        <v>1900</v>
      </c>
      <c r="B1" s="2" t="s">
        <v>89</v>
      </c>
      <c r="C1" s="2" t="s">
        <v>90</v>
      </c>
      <c r="D1" s="2" t="s">
        <v>91</v>
      </c>
      <c r="E1" s="2" t="s">
        <v>92</v>
      </c>
      <c r="F1" s="2" t="s">
        <v>93</v>
      </c>
      <c r="G1" s="2" t="s">
        <v>94</v>
      </c>
      <c r="H1" s="2" t="s">
        <v>95</v>
      </c>
      <c r="I1" s="2" t="s">
        <v>96</v>
      </c>
      <c r="J1" s="2" t="s">
        <v>97</v>
      </c>
      <c r="K1" s="2" t="s">
        <v>98</v>
      </c>
      <c r="L1" s="2" t="s">
        <v>99</v>
      </c>
      <c r="M1" s="2" t="s">
        <v>100</v>
      </c>
      <c r="N1" s="2" t="s">
        <v>101</v>
      </c>
      <c r="O1" s="2" t="s">
        <v>102</v>
      </c>
      <c r="P1" s="2" t="s">
        <v>103</v>
      </c>
      <c r="Q1" s="2" t="s">
        <v>104</v>
      </c>
      <c r="R1" s="2" t="s">
        <v>105</v>
      </c>
      <c r="S1" s="2" t="s">
        <v>106</v>
      </c>
      <c r="T1" s="2" t="s">
        <v>107</v>
      </c>
      <c r="U1" s="2" t="s">
        <v>108</v>
      </c>
      <c r="V1" s="3" t="s">
        <v>109</v>
      </c>
    </row>
    <row r="2" spans="1:24">
      <c r="A2" s="4" t="s">
        <v>110</v>
      </c>
      <c r="B2" s="6">
        <v>118790000</v>
      </c>
      <c r="C2" s="7">
        <v>103477112</v>
      </c>
      <c r="D2" s="7">
        <v>91906528</v>
      </c>
      <c r="E2" s="7">
        <v>81629744</v>
      </c>
      <c r="F2" s="7">
        <v>71107080</v>
      </c>
      <c r="G2" s="7">
        <v>60578080</v>
      </c>
      <c r="H2" s="7">
        <v>51608136</v>
      </c>
      <c r="I2" s="7">
        <v>42865616</v>
      </c>
      <c r="J2" s="7">
        <v>34595176</v>
      </c>
      <c r="K2" s="7">
        <v>27030292</v>
      </c>
      <c r="L2" s="7">
        <v>20367078</v>
      </c>
      <c r="M2" s="7">
        <v>14739637</v>
      </c>
      <c r="N2" s="7">
        <v>9717799</v>
      </c>
      <c r="O2" s="7">
        <v>5143443</v>
      </c>
      <c r="P2" s="7">
        <v>2340044</v>
      </c>
      <c r="Q2" s="7">
        <v>901739</v>
      </c>
      <c r="R2" s="7">
        <v>318566</v>
      </c>
      <c r="S2" s="7">
        <v>86215</v>
      </c>
      <c r="T2" s="7">
        <v>23333</v>
      </c>
      <c r="U2" s="7">
        <v>5307</v>
      </c>
      <c r="V2" s="8">
        <v>1079</v>
      </c>
      <c r="X2" s="14"/>
    </row>
    <row r="3" spans="1:24" ht="15" thickBot="1">
      <c r="A3" s="5" t="s">
        <v>111</v>
      </c>
      <c r="B3" s="9">
        <v>117500000</v>
      </c>
      <c r="C3" s="10">
        <v>102353400</v>
      </c>
      <c r="D3" s="10">
        <v>90908472</v>
      </c>
      <c r="E3" s="10">
        <v>80743288</v>
      </c>
      <c r="F3" s="10">
        <v>70334896</v>
      </c>
      <c r="G3" s="10">
        <v>59920236</v>
      </c>
      <c r="H3" s="10">
        <v>51047700</v>
      </c>
      <c r="I3" s="10">
        <v>42400120</v>
      </c>
      <c r="J3" s="10">
        <v>34219496</v>
      </c>
      <c r="K3" s="10">
        <v>26736762</v>
      </c>
      <c r="L3" s="10">
        <v>20145906</v>
      </c>
      <c r="M3" s="10">
        <v>14579576</v>
      </c>
      <c r="N3" s="10">
        <v>9612271</v>
      </c>
      <c r="O3" s="10">
        <v>5087589</v>
      </c>
      <c r="P3" s="10">
        <v>2314632</v>
      </c>
      <c r="Q3" s="10">
        <v>891947</v>
      </c>
      <c r="R3" s="10">
        <v>315106</v>
      </c>
      <c r="S3" s="10">
        <v>85279</v>
      </c>
      <c r="T3" s="10">
        <v>23080</v>
      </c>
      <c r="U3" s="10">
        <v>5249</v>
      </c>
      <c r="V3" s="11">
        <v>1068</v>
      </c>
    </row>
    <row r="4" spans="1:24">
      <c r="A4" s="13"/>
      <c r="B4" s="68"/>
      <c r="C4" s="68"/>
      <c r="D4" s="68"/>
      <c r="E4" s="68"/>
      <c r="F4" s="68"/>
      <c r="G4" s="68"/>
      <c r="H4" s="68"/>
      <c r="I4" s="68"/>
      <c r="J4" s="68"/>
      <c r="K4" s="68"/>
      <c r="L4" s="68"/>
      <c r="M4" s="68"/>
      <c r="N4" s="68"/>
      <c r="O4" s="68"/>
      <c r="P4" s="68"/>
      <c r="Q4" s="68"/>
      <c r="R4" s="68"/>
      <c r="S4" s="68"/>
      <c r="T4" s="68"/>
      <c r="U4" s="68"/>
      <c r="V4" s="68"/>
    </row>
    <row r="5" spans="1:24">
      <c r="A5" s="13"/>
      <c r="B5" s="14"/>
      <c r="C5" s="14"/>
      <c r="D5" s="14"/>
      <c r="E5" s="14"/>
      <c r="F5" s="14"/>
      <c r="G5" s="14"/>
      <c r="H5" s="14"/>
      <c r="I5" s="14"/>
      <c r="J5" s="14"/>
      <c r="K5" s="14"/>
      <c r="L5" s="14"/>
      <c r="M5" s="14"/>
      <c r="N5" s="14"/>
      <c r="O5" s="14"/>
      <c r="P5" s="14"/>
      <c r="Q5" s="14"/>
      <c r="R5" s="14"/>
      <c r="S5" s="14"/>
      <c r="T5" s="14"/>
      <c r="U5" s="14"/>
      <c r="V5" s="14"/>
    </row>
    <row r="6" spans="1:24" ht="18.600000000000001" thickBot="1">
      <c r="A6" s="41" t="s">
        <v>116</v>
      </c>
    </row>
    <row r="7" spans="1:24">
      <c r="A7" s="1">
        <v>1960</v>
      </c>
      <c r="B7" s="2" t="s">
        <v>89</v>
      </c>
      <c r="C7" s="2" t="s">
        <v>90</v>
      </c>
      <c r="D7" s="2" t="s">
        <v>91</v>
      </c>
      <c r="E7" s="2" t="s">
        <v>92</v>
      </c>
      <c r="F7" s="2" t="s">
        <v>93</v>
      </c>
      <c r="G7" s="2" t="s">
        <v>94</v>
      </c>
      <c r="H7" s="2" t="s">
        <v>95</v>
      </c>
      <c r="I7" s="2" t="s">
        <v>96</v>
      </c>
      <c r="J7" s="2" t="s">
        <v>97</v>
      </c>
      <c r="K7" s="2" t="s">
        <v>98</v>
      </c>
      <c r="L7" s="2" t="s">
        <v>99</v>
      </c>
      <c r="M7" s="2" t="s">
        <v>100</v>
      </c>
      <c r="N7" s="2" t="s">
        <v>101</v>
      </c>
      <c r="O7" s="2" t="s">
        <v>102</v>
      </c>
      <c r="P7" s="2" t="s">
        <v>103</v>
      </c>
      <c r="Q7" s="2" t="s">
        <v>104</v>
      </c>
      <c r="R7" s="2" t="s">
        <v>105</v>
      </c>
      <c r="S7" s="2" t="s">
        <v>106</v>
      </c>
      <c r="T7" s="2" t="s">
        <v>107</v>
      </c>
      <c r="U7" s="2" t="s">
        <v>108</v>
      </c>
      <c r="V7" s="3" t="s">
        <v>109</v>
      </c>
    </row>
    <row r="8" spans="1:24">
      <c r="A8" s="4" t="s">
        <v>110</v>
      </c>
      <c r="B8">
        <v>201759712</v>
      </c>
      <c r="C8">
        <v>174309488</v>
      </c>
      <c r="D8">
        <v>150169536</v>
      </c>
      <c r="E8">
        <v>134784784</v>
      </c>
      <c r="F8">
        <v>121219544</v>
      </c>
      <c r="G8">
        <v>109207696</v>
      </c>
      <c r="H8">
        <v>98519416</v>
      </c>
      <c r="I8">
        <v>88966096</v>
      </c>
      <c r="J8">
        <v>80398936</v>
      </c>
      <c r="K8">
        <v>69154656</v>
      </c>
      <c r="L8">
        <v>59299188</v>
      </c>
      <c r="M8">
        <v>50686684</v>
      </c>
      <c r="N8">
        <v>43170944</v>
      </c>
      <c r="O8">
        <v>29734940</v>
      </c>
      <c r="P8">
        <v>19930506</v>
      </c>
      <c r="Q8">
        <v>13009425</v>
      </c>
      <c r="R8">
        <v>8275979</v>
      </c>
      <c r="S8">
        <v>5135019</v>
      </c>
      <c r="T8">
        <v>3110059</v>
      </c>
      <c r="U8">
        <v>1840071.75</v>
      </c>
      <c r="V8" s="15">
        <v>2463735.5</v>
      </c>
    </row>
    <row r="9" spans="1:24" ht="15" thickBot="1">
      <c r="A9" s="5" t="s">
        <v>111</v>
      </c>
      <c r="B9" s="16">
        <v>190006752</v>
      </c>
      <c r="C9" s="16">
        <v>164155600</v>
      </c>
      <c r="D9" s="16">
        <v>141422144</v>
      </c>
      <c r="E9" s="16">
        <v>126935400</v>
      </c>
      <c r="F9" s="16">
        <v>114167040</v>
      </c>
      <c r="G9" s="16">
        <v>102873328</v>
      </c>
      <c r="H9" s="16">
        <v>92848632</v>
      </c>
      <c r="I9" s="16">
        <v>83927672</v>
      </c>
      <c r="J9" s="16">
        <v>75979608</v>
      </c>
      <c r="K9" s="16">
        <v>65521304</v>
      </c>
      <c r="L9" s="16">
        <v>56381528</v>
      </c>
      <c r="M9" s="16">
        <v>48404056</v>
      </c>
      <c r="N9" s="16">
        <v>41432580</v>
      </c>
      <c r="O9" s="16">
        <v>28658414</v>
      </c>
      <c r="P9" s="16">
        <v>19288202</v>
      </c>
      <c r="Q9" s="16">
        <v>12638794</v>
      </c>
      <c r="R9" s="16">
        <v>8068243.5</v>
      </c>
      <c r="S9" s="16">
        <v>5021387</v>
      </c>
      <c r="T9" s="16">
        <v>3049104.75</v>
      </c>
      <c r="U9" s="16">
        <v>1807861.5</v>
      </c>
      <c r="V9" s="17">
        <v>2428035.75</v>
      </c>
    </row>
    <row r="10" spans="1:24" ht="15" thickBot="1">
      <c r="B10" s="68"/>
      <c r="C10" s="68"/>
      <c r="D10" s="68"/>
      <c r="E10" s="68"/>
      <c r="F10" s="68"/>
      <c r="G10" s="68"/>
      <c r="H10" s="68"/>
      <c r="I10" s="68"/>
      <c r="J10" s="68"/>
      <c r="K10" s="68"/>
      <c r="L10" s="68"/>
      <c r="M10" s="68"/>
      <c r="N10" s="68"/>
      <c r="O10" s="68"/>
      <c r="P10" s="68"/>
      <c r="Q10" s="68"/>
      <c r="R10" s="68"/>
      <c r="S10" s="68"/>
      <c r="T10" s="68"/>
      <c r="U10" s="68"/>
      <c r="V10" s="68"/>
    </row>
    <row r="11" spans="1:24">
      <c r="A11" s="1">
        <v>2016</v>
      </c>
      <c r="B11" s="2" t="s">
        <v>89</v>
      </c>
      <c r="C11" s="2" t="s">
        <v>90</v>
      </c>
      <c r="D11" s="2" t="s">
        <v>91</v>
      </c>
      <c r="E11" s="2" t="s">
        <v>92</v>
      </c>
      <c r="F11" s="2" t="s">
        <v>93</v>
      </c>
      <c r="G11" s="2" t="s">
        <v>94</v>
      </c>
      <c r="H11" s="2" t="s">
        <v>95</v>
      </c>
      <c r="I11" s="2" t="s">
        <v>96</v>
      </c>
      <c r="J11" s="2" t="s">
        <v>97</v>
      </c>
      <c r="K11" s="2" t="s">
        <v>98</v>
      </c>
      <c r="L11" s="2" t="s">
        <v>99</v>
      </c>
      <c r="M11" s="2" t="s">
        <v>100</v>
      </c>
      <c r="N11" s="2" t="s">
        <v>101</v>
      </c>
      <c r="O11" s="2" t="s">
        <v>102</v>
      </c>
      <c r="P11" s="2" t="s">
        <v>103</v>
      </c>
      <c r="Q11" s="2" t="s">
        <v>104</v>
      </c>
      <c r="R11" s="2" t="s">
        <v>105</v>
      </c>
      <c r="S11" s="2" t="s">
        <v>106</v>
      </c>
      <c r="T11" s="2" t="s">
        <v>107</v>
      </c>
      <c r="U11" s="2" t="s">
        <v>108</v>
      </c>
      <c r="V11" s="3" t="s">
        <v>109</v>
      </c>
    </row>
    <row r="12" spans="1:24">
      <c r="A12" s="4" t="s">
        <v>110</v>
      </c>
      <c r="B12">
        <v>377155904</v>
      </c>
      <c r="C12">
        <v>361187584</v>
      </c>
      <c r="D12">
        <v>342626816</v>
      </c>
      <c r="E12">
        <v>324214400</v>
      </c>
      <c r="F12">
        <v>304375904</v>
      </c>
      <c r="G12">
        <v>283646656</v>
      </c>
      <c r="H12">
        <v>262530672</v>
      </c>
      <c r="I12">
        <v>241480432</v>
      </c>
      <c r="J12">
        <v>220886512</v>
      </c>
      <c r="K12">
        <v>194941472</v>
      </c>
      <c r="L12">
        <v>171318096</v>
      </c>
      <c r="M12">
        <v>150027600</v>
      </c>
      <c r="N12">
        <v>131012728</v>
      </c>
      <c r="O12">
        <v>96158840</v>
      </c>
      <c r="P12">
        <v>69124632</v>
      </c>
      <c r="Q12">
        <v>48694152</v>
      </c>
      <c r="R12">
        <v>33628724</v>
      </c>
      <c r="S12">
        <v>22776420</v>
      </c>
      <c r="T12">
        <v>15132978</v>
      </c>
      <c r="U12">
        <v>9865731</v>
      </c>
      <c r="V12" s="15">
        <v>17262082</v>
      </c>
    </row>
    <row r="13" spans="1:24" ht="15" thickBot="1">
      <c r="A13" s="5" t="s">
        <v>111</v>
      </c>
      <c r="B13" s="16">
        <v>355185632</v>
      </c>
      <c r="C13" s="16">
        <v>340147488</v>
      </c>
      <c r="D13" s="16">
        <v>322668032</v>
      </c>
      <c r="E13" s="16">
        <v>305328128</v>
      </c>
      <c r="F13" s="16">
        <v>286645216</v>
      </c>
      <c r="G13" s="16">
        <v>267123504</v>
      </c>
      <c r="H13" s="16">
        <v>247237616</v>
      </c>
      <c r="I13" s="16">
        <v>227413664</v>
      </c>
      <c r="J13" s="16">
        <v>208019568</v>
      </c>
      <c r="K13" s="16">
        <v>183586288</v>
      </c>
      <c r="L13" s="16">
        <v>161339936</v>
      </c>
      <c r="M13" s="16">
        <v>141291536</v>
      </c>
      <c r="N13" s="16">
        <v>123387888</v>
      </c>
      <c r="O13" s="16">
        <v>90566912</v>
      </c>
      <c r="P13" s="16">
        <v>65110144</v>
      </c>
      <c r="Q13" s="16">
        <v>45872120</v>
      </c>
      <c r="R13" s="16">
        <v>31685976</v>
      </c>
      <c r="S13" s="16">
        <v>21466672</v>
      </c>
      <c r="T13" s="16">
        <v>14268363</v>
      </c>
      <c r="U13" s="16">
        <v>9306959</v>
      </c>
      <c r="V13" s="17">
        <v>16330454</v>
      </c>
    </row>
    <row r="16" spans="1:24" ht="18">
      <c r="A16" s="41" t="s">
        <v>117</v>
      </c>
    </row>
    <row r="17" spans="1:22" ht="15" thickBot="1"/>
    <row r="18" spans="1:22">
      <c r="A18" s="1" t="s">
        <v>119</v>
      </c>
      <c r="B18" s="2" t="s">
        <v>89</v>
      </c>
      <c r="C18" s="2" t="s">
        <v>90</v>
      </c>
      <c r="D18" s="2" t="s">
        <v>91</v>
      </c>
      <c r="E18" s="2" t="s">
        <v>92</v>
      </c>
      <c r="F18" s="2" t="s">
        <v>93</v>
      </c>
      <c r="G18" s="2" t="s">
        <v>94</v>
      </c>
      <c r="H18" s="2" t="s">
        <v>95</v>
      </c>
      <c r="I18" s="2" t="s">
        <v>96</v>
      </c>
      <c r="J18" s="2" t="s">
        <v>97</v>
      </c>
      <c r="K18" s="2" t="s">
        <v>98</v>
      </c>
      <c r="L18" s="2" t="s">
        <v>99</v>
      </c>
      <c r="M18" s="2" t="s">
        <v>100</v>
      </c>
      <c r="N18" s="2" t="s">
        <v>101</v>
      </c>
      <c r="O18" s="2" t="s">
        <v>102</v>
      </c>
      <c r="P18" s="2" t="s">
        <v>103</v>
      </c>
      <c r="Q18" s="2" t="s">
        <v>104</v>
      </c>
      <c r="R18" s="2" t="s">
        <v>105</v>
      </c>
      <c r="S18" s="2" t="s">
        <v>106</v>
      </c>
      <c r="T18" s="2" t="s">
        <v>107</v>
      </c>
      <c r="U18" s="2" t="s">
        <v>108</v>
      </c>
      <c r="V18" s="3" t="s">
        <v>109</v>
      </c>
    </row>
    <row r="19" spans="1:22">
      <c r="A19" s="4" t="s">
        <v>110</v>
      </c>
      <c r="B19" s="43">
        <v>326238210</v>
      </c>
      <c r="C19" s="29">
        <v>323136500</v>
      </c>
      <c r="D19" s="29">
        <v>312589560</v>
      </c>
      <c r="E19" s="29">
        <v>308809260</v>
      </c>
      <c r="F19" s="29">
        <v>309372250</v>
      </c>
      <c r="G19" s="29">
        <v>307088450</v>
      </c>
      <c r="H19" s="29">
        <v>279794820</v>
      </c>
      <c r="I19" s="29">
        <v>250771340</v>
      </c>
      <c r="J19" s="29">
        <v>243173950</v>
      </c>
      <c r="K19" s="29">
        <v>225850530</v>
      </c>
      <c r="L19" s="29">
        <v>194917170</v>
      </c>
      <c r="M19" s="29">
        <v>166703660</v>
      </c>
      <c r="N19" s="29">
        <v>141478440</v>
      </c>
      <c r="O19" s="29">
        <v>101142090</v>
      </c>
      <c r="P19" s="29">
        <v>68997070</v>
      </c>
      <c r="Q19" s="29">
        <v>48716170</v>
      </c>
      <c r="R19" s="29">
        <v>28094250</v>
      </c>
      <c r="S19" s="29">
        <v>13025230</v>
      </c>
      <c r="T19" s="29">
        <v>4144950</v>
      </c>
      <c r="U19" s="29">
        <v>789660</v>
      </c>
      <c r="V19" s="23">
        <v>108140</v>
      </c>
    </row>
    <row r="20" spans="1:22" ht="15" thickBot="1">
      <c r="A20" s="5" t="s">
        <v>111</v>
      </c>
      <c r="B20" s="18">
        <v>306193880</v>
      </c>
      <c r="C20" s="20">
        <v>301740290</v>
      </c>
      <c r="D20" s="20">
        <v>291425920</v>
      </c>
      <c r="E20" s="20">
        <v>288395940</v>
      </c>
      <c r="F20" s="20">
        <v>290668070</v>
      </c>
      <c r="G20" s="20">
        <v>292665090</v>
      </c>
      <c r="H20" s="20">
        <v>269800690</v>
      </c>
      <c r="I20" s="20">
        <v>243563850</v>
      </c>
      <c r="J20" s="20">
        <v>237988910</v>
      </c>
      <c r="K20" s="20">
        <v>222571470</v>
      </c>
      <c r="L20" s="20">
        <v>196138900</v>
      </c>
      <c r="M20" s="20">
        <v>170355990</v>
      </c>
      <c r="N20" s="20">
        <v>148477410</v>
      </c>
      <c r="O20" s="20">
        <v>112180790</v>
      </c>
      <c r="P20" s="20">
        <v>81246090</v>
      </c>
      <c r="Q20" s="20">
        <v>63581460</v>
      </c>
      <c r="R20" s="20">
        <v>41134260</v>
      </c>
      <c r="S20" s="20">
        <v>22994020</v>
      </c>
      <c r="T20" s="20">
        <v>9264230</v>
      </c>
      <c r="U20" s="20">
        <v>2187300</v>
      </c>
      <c r="V20" s="21">
        <v>404150</v>
      </c>
    </row>
    <row r="21" spans="1:22" ht="15.6">
      <c r="A21" s="48"/>
    </row>
    <row r="22" spans="1:22" ht="18.600000000000001" thickBot="1">
      <c r="A22" s="41" t="s">
        <v>214</v>
      </c>
    </row>
    <row r="23" spans="1:22">
      <c r="A23" s="1">
        <v>2016</v>
      </c>
      <c r="B23" s="2" t="s">
        <v>89</v>
      </c>
      <c r="C23" s="2" t="s">
        <v>90</v>
      </c>
      <c r="D23" s="2" t="s">
        <v>91</v>
      </c>
      <c r="E23" s="2" t="s">
        <v>92</v>
      </c>
      <c r="F23" s="2" t="s">
        <v>93</v>
      </c>
      <c r="G23" s="2" t="s">
        <v>94</v>
      </c>
      <c r="H23" s="2" t="s">
        <v>95</v>
      </c>
      <c r="I23" s="2" t="s">
        <v>96</v>
      </c>
      <c r="J23" s="2" t="s">
        <v>97</v>
      </c>
      <c r="K23" s="2" t="s">
        <v>98</v>
      </c>
      <c r="L23" s="2" t="s">
        <v>99</v>
      </c>
      <c r="M23" s="2" t="s">
        <v>100</v>
      </c>
      <c r="N23" s="2" t="s">
        <v>101</v>
      </c>
      <c r="O23" s="2" t="s">
        <v>102</v>
      </c>
      <c r="P23" s="2" t="s">
        <v>103</v>
      </c>
      <c r="Q23" s="2" t="s">
        <v>104</v>
      </c>
      <c r="R23" s="2" t="s">
        <v>105</v>
      </c>
      <c r="S23" s="2" t="s">
        <v>106</v>
      </c>
      <c r="T23" s="2" t="s">
        <v>107</v>
      </c>
      <c r="U23" s="2" t="s">
        <v>108</v>
      </c>
      <c r="V23" s="3" t="s">
        <v>109</v>
      </c>
    </row>
    <row r="24" spans="1:22">
      <c r="A24" s="4" t="s">
        <v>110</v>
      </c>
      <c r="B24" s="12">
        <v>118790000</v>
      </c>
      <c r="C24" s="12">
        <v>103477112</v>
      </c>
      <c r="D24" s="12">
        <v>91906528</v>
      </c>
      <c r="E24" s="12">
        <v>81629744</v>
      </c>
      <c r="F24" s="12">
        <v>71107080</v>
      </c>
      <c r="G24" s="12">
        <v>60578080</v>
      </c>
      <c r="H24" s="12">
        <v>51608136</v>
      </c>
      <c r="I24" s="12">
        <v>42865616</v>
      </c>
      <c r="J24" s="12">
        <v>34595176</v>
      </c>
      <c r="K24" s="12">
        <v>27030292</v>
      </c>
      <c r="L24" s="12">
        <v>20367078</v>
      </c>
      <c r="M24" s="12">
        <v>14739637</v>
      </c>
      <c r="N24" s="12">
        <v>9717799</v>
      </c>
      <c r="O24" s="12">
        <v>5143443</v>
      </c>
      <c r="P24" s="12">
        <v>2340044</v>
      </c>
      <c r="Q24" s="12">
        <v>901739</v>
      </c>
      <c r="R24" s="12">
        <v>318566</v>
      </c>
      <c r="S24" s="12">
        <v>86215</v>
      </c>
      <c r="T24" s="12">
        <v>23333</v>
      </c>
      <c r="U24" s="12">
        <v>5307</v>
      </c>
      <c r="V24" s="12">
        <v>1079</v>
      </c>
    </row>
    <row r="25" spans="1:22" ht="15" thickBot="1">
      <c r="A25" s="5" t="s">
        <v>111</v>
      </c>
      <c r="B25" s="12">
        <v>117500000</v>
      </c>
      <c r="C25" s="12">
        <v>102353400</v>
      </c>
      <c r="D25" s="12">
        <v>90908472</v>
      </c>
      <c r="E25" s="12">
        <v>80743288</v>
      </c>
      <c r="F25" s="12">
        <v>70334896</v>
      </c>
      <c r="G25" s="12">
        <v>59920236</v>
      </c>
      <c r="H25" s="12">
        <v>51047700</v>
      </c>
      <c r="I25" s="12">
        <v>42400120</v>
      </c>
      <c r="J25" s="12">
        <v>34219496</v>
      </c>
      <c r="K25" s="12">
        <v>26736762</v>
      </c>
      <c r="L25" s="12">
        <v>20145906</v>
      </c>
      <c r="M25" s="12">
        <v>14579576</v>
      </c>
      <c r="N25" s="12">
        <v>9612271</v>
      </c>
      <c r="O25" s="12">
        <v>5087589</v>
      </c>
      <c r="P25" s="12">
        <v>2314632</v>
      </c>
      <c r="Q25" s="12">
        <v>891947</v>
      </c>
      <c r="R25" s="12">
        <v>315106</v>
      </c>
      <c r="S25" s="12">
        <v>85279</v>
      </c>
      <c r="T25" s="12">
        <v>23080</v>
      </c>
      <c r="U25" s="12">
        <v>5249</v>
      </c>
      <c r="V25" s="12">
        <v>1068</v>
      </c>
    </row>
    <row r="28" spans="1:22" ht="18.600000000000001" thickBot="1">
      <c r="A28" s="41" t="s">
        <v>216</v>
      </c>
    </row>
    <row r="29" spans="1:22">
      <c r="A29" s="1">
        <v>2016</v>
      </c>
      <c r="B29" s="2" t="s">
        <v>89</v>
      </c>
      <c r="C29" s="2" t="s">
        <v>90</v>
      </c>
      <c r="D29" s="2" t="s">
        <v>91</v>
      </c>
      <c r="E29" s="2" t="s">
        <v>92</v>
      </c>
      <c r="F29" s="2" t="s">
        <v>93</v>
      </c>
      <c r="G29" s="2" t="s">
        <v>94</v>
      </c>
      <c r="H29" s="2" t="s">
        <v>95</v>
      </c>
      <c r="I29" s="2" t="s">
        <v>96</v>
      </c>
      <c r="J29" s="2" t="s">
        <v>97</v>
      </c>
      <c r="K29" s="2" t="s">
        <v>98</v>
      </c>
      <c r="L29" s="2" t="s">
        <v>99</v>
      </c>
      <c r="M29" s="2" t="s">
        <v>100</v>
      </c>
      <c r="N29" s="2" t="s">
        <v>101</v>
      </c>
      <c r="O29" s="2" t="s">
        <v>102</v>
      </c>
      <c r="P29" s="2" t="s">
        <v>103</v>
      </c>
      <c r="Q29" s="2" t="s">
        <v>104</v>
      </c>
      <c r="R29" s="2" t="s">
        <v>105</v>
      </c>
      <c r="S29" s="2" t="s">
        <v>106</v>
      </c>
      <c r="T29" s="2" t="s">
        <v>107</v>
      </c>
      <c r="U29" s="2" t="s">
        <v>108</v>
      </c>
      <c r="V29" s="3" t="s">
        <v>109</v>
      </c>
    </row>
    <row r="30" spans="1:22">
      <c r="A30" s="4" t="s">
        <v>110</v>
      </c>
      <c r="B30">
        <v>300316180.30000001</v>
      </c>
      <c r="C30">
        <v>317939730.80000001</v>
      </c>
      <c r="D30">
        <v>314013241.80000001</v>
      </c>
      <c r="E30">
        <v>309034589.69999999</v>
      </c>
      <c r="F30">
        <v>309057887.39999998</v>
      </c>
      <c r="G30">
        <v>307410262.80000001</v>
      </c>
      <c r="H30">
        <v>285106230</v>
      </c>
      <c r="I30">
        <v>256383915.09999999</v>
      </c>
      <c r="J30">
        <v>244390066.09999999</v>
      </c>
      <c r="K30">
        <v>228789722.59999999</v>
      </c>
      <c r="L30">
        <v>200268201</v>
      </c>
      <c r="M30">
        <v>171124905.90000001</v>
      </c>
      <c r="N30">
        <v>144813117.90000001</v>
      </c>
      <c r="O30">
        <v>106850494.3</v>
      </c>
      <c r="P30">
        <v>72859793.040000007</v>
      </c>
      <c r="Q30">
        <v>50084296.549999997</v>
      </c>
      <c r="R30">
        <v>29336615.989999998</v>
      </c>
      <c r="S30">
        <v>13697677.09</v>
      </c>
      <c r="T30">
        <v>4484536.7240000004</v>
      </c>
      <c r="U30">
        <v>891003.63370000001</v>
      </c>
      <c r="V30">
        <v>121149.5653</v>
      </c>
    </row>
    <row r="31" spans="1:22" ht="15" thickBot="1">
      <c r="A31" s="5" t="s">
        <v>111</v>
      </c>
      <c r="B31">
        <v>281966844.10000002</v>
      </c>
      <c r="C31">
        <v>297063749.39999998</v>
      </c>
      <c r="D31">
        <v>292819228.30000001</v>
      </c>
      <c r="E31">
        <v>288547237.39999998</v>
      </c>
      <c r="F31">
        <v>290168066.80000001</v>
      </c>
      <c r="G31">
        <v>292328542</v>
      </c>
      <c r="H31">
        <v>274435049.10000002</v>
      </c>
      <c r="I31">
        <v>248805031.40000001</v>
      </c>
      <c r="J31">
        <v>238944071.90000001</v>
      </c>
      <c r="K31">
        <v>225271702.19999999</v>
      </c>
      <c r="L31">
        <v>200812081</v>
      </c>
      <c r="M31">
        <v>174697485.30000001</v>
      </c>
      <c r="N31">
        <v>151789781.40000001</v>
      </c>
      <c r="O31">
        <v>117930325.3</v>
      </c>
      <c r="P31">
        <v>85588665.290000007</v>
      </c>
      <c r="Q31">
        <v>64924398.859999999</v>
      </c>
      <c r="R31">
        <v>42868218.549999997</v>
      </c>
      <c r="S31">
        <v>23990214.829999998</v>
      </c>
      <c r="T31">
        <v>9947615.9910000004</v>
      </c>
      <c r="U31">
        <v>2493977.4139999999</v>
      </c>
      <c r="V31">
        <v>455338.14309999999</v>
      </c>
    </row>
    <row r="34" spans="1:22" ht="18.600000000000001" thickBot="1">
      <c r="A34" s="41" t="s">
        <v>318</v>
      </c>
    </row>
    <row r="35" spans="1:22">
      <c r="A35" s="1">
        <v>2016</v>
      </c>
      <c r="B35" s="2" t="s">
        <v>89</v>
      </c>
      <c r="C35" s="2" t="s">
        <v>90</v>
      </c>
      <c r="D35" s="2" t="s">
        <v>91</v>
      </c>
      <c r="E35" s="2" t="s">
        <v>92</v>
      </c>
      <c r="F35" s="2" t="s">
        <v>93</v>
      </c>
      <c r="G35" s="2" t="s">
        <v>94</v>
      </c>
      <c r="H35" s="2" t="s">
        <v>95</v>
      </c>
      <c r="I35" s="2" t="s">
        <v>96</v>
      </c>
      <c r="J35" s="2" t="s">
        <v>97</v>
      </c>
      <c r="K35" s="2" t="s">
        <v>98</v>
      </c>
      <c r="L35" s="2" t="s">
        <v>99</v>
      </c>
      <c r="M35" s="2" t="s">
        <v>100</v>
      </c>
      <c r="N35" s="2" t="s">
        <v>101</v>
      </c>
      <c r="O35" s="2" t="s">
        <v>102</v>
      </c>
      <c r="P35" s="2" t="s">
        <v>103</v>
      </c>
      <c r="Q35" s="2" t="s">
        <v>104</v>
      </c>
      <c r="R35" s="2" t="s">
        <v>105</v>
      </c>
      <c r="S35" s="2" t="s">
        <v>106</v>
      </c>
      <c r="T35" s="2" t="s">
        <v>107</v>
      </c>
      <c r="U35" s="2" t="s">
        <v>108</v>
      </c>
      <c r="V35" s="3" t="s">
        <v>109</v>
      </c>
    </row>
    <row r="36" spans="1:22">
      <c r="A36" s="4" t="s">
        <v>110</v>
      </c>
      <c r="B36" s="12">
        <v>377155904</v>
      </c>
      <c r="C36" s="44">
        <v>361187584</v>
      </c>
      <c r="D36" s="44">
        <v>342626816</v>
      </c>
      <c r="E36" s="44">
        <v>324214400</v>
      </c>
      <c r="F36" s="44">
        <v>304375904</v>
      </c>
      <c r="G36" s="44">
        <v>283646656</v>
      </c>
      <c r="H36" s="44">
        <v>262530672</v>
      </c>
      <c r="I36" s="44">
        <v>241480432</v>
      </c>
      <c r="J36" s="44">
        <v>220886512</v>
      </c>
      <c r="K36" s="44">
        <v>194941472</v>
      </c>
      <c r="L36" s="44">
        <v>171318096</v>
      </c>
      <c r="M36" s="44">
        <v>150027600</v>
      </c>
      <c r="N36" s="44">
        <v>131012728</v>
      </c>
      <c r="O36" s="44">
        <v>96158840</v>
      </c>
      <c r="P36" s="44">
        <v>69124632</v>
      </c>
      <c r="Q36" s="44">
        <v>48694152</v>
      </c>
      <c r="R36" s="44">
        <v>33628724</v>
      </c>
      <c r="S36" s="44">
        <v>22776420</v>
      </c>
      <c r="T36" s="44">
        <v>15132978</v>
      </c>
      <c r="U36" s="44">
        <v>9865731</v>
      </c>
      <c r="V36" s="45">
        <v>17262082</v>
      </c>
    </row>
    <row r="37" spans="1:22" ht="15" thickBot="1">
      <c r="A37" s="5" t="s">
        <v>111</v>
      </c>
      <c r="B37" s="46">
        <v>355185632</v>
      </c>
      <c r="C37" s="46">
        <v>340147488</v>
      </c>
      <c r="D37" s="46">
        <v>322668032</v>
      </c>
      <c r="E37" s="46">
        <v>305328128</v>
      </c>
      <c r="F37" s="46">
        <v>286645216</v>
      </c>
      <c r="G37" s="46">
        <v>267123504</v>
      </c>
      <c r="H37" s="46">
        <v>247237616</v>
      </c>
      <c r="I37" s="46">
        <v>227413664</v>
      </c>
      <c r="J37" s="46">
        <v>208019568</v>
      </c>
      <c r="K37" s="46">
        <v>183586288</v>
      </c>
      <c r="L37" s="46">
        <v>161339936</v>
      </c>
      <c r="M37" s="46">
        <v>141291536</v>
      </c>
      <c r="N37" s="46">
        <v>123387888</v>
      </c>
      <c r="O37" s="46">
        <v>90566912</v>
      </c>
      <c r="P37" s="46">
        <v>65110144</v>
      </c>
      <c r="Q37" s="46">
        <v>45872120</v>
      </c>
      <c r="R37" s="46">
        <v>31685976</v>
      </c>
      <c r="S37" s="46">
        <v>21466672</v>
      </c>
      <c r="T37" s="46">
        <v>14268363</v>
      </c>
      <c r="U37" s="46">
        <v>9306959</v>
      </c>
      <c r="V37" s="47">
        <v>16330454</v>
      </c>
    </row>
    <row r="39" spans="1:22" ht="18.600000000000001" thickBot="1">
      <c r="A39" s="41" t="s">
        <v>320</v>
      </c>
      <c r="F39" t="s">
        <v>321</v>
      </c>
    </row>
    <row r="40" spans="1:22">
      <c r="A40" s="1">
        <v>2000</v>
      </c>
      <c r="B40" s="13" t="s">
        <v>89</v>
      </c>
      <c r="C40" s="13" t="s">
        <v>90</v>
      </c>
      <c r="D40" s="13" t="s">
        <v>91</v>
      </c>
      <c r="E40" s="13" t="s">
        <v>92</v>
      </c>
      <c r="F40" s="13" t="s">
        <v>93</v>
      </c>
      <c r="G40" s="13" t="s">
        <v>94</v>
      </c>
      <c r="H40" s="13" t="s">
        <v>95</v>
      </c>
      <c r="I40" s="13" t="s">
        <v>96</v>
      </c>
      <c r="J40" s="13" t="s">
        <v>97</v>
      </c>
      <c r="K40" s="13" t="s">
        <v>98</v>
      </c>
      <c r="L40" s="13" t="s">
        <v>99</v>
      </c>
      <c r="M40" s="13" t="s">
        <v>100</v>
      </c>
      <c r="N40" s="13" t="s">
        <v>101</v>
      </c>
      <c r="O40" s="13" t="s">
        <v>102</v>
      </c>
      <c r="P40" s="13" t="s">
        <v>103</v>
      </c>
      <c r="Q40" s="13" t="s">
        <v>104</v>
      </c>
      <c r="R40" s="13" t="s">
        <v>105</v>
      </c>
      <c r="S40" s="13" t="s">
        <v>106</v>
      </c>
      <c r="T40" s="13" t="s">
        <v>107</v>
      </c>
      <c r="U40" s="13" t="s">
        <v>108</v>
      </c>
      <c r="V40" s="13" t="s">
        <v>109</v>
      </c>
    </row>
    <row r="41" spans="1:22">
      <c r="A41" t="s">
        <v>110</v>
      </c>
      <c r="B41">
        <v>320174434</v>
      </c>
      <c r="C41">
        <v>317337733</v>
      </c>
      <c r="D41">
        <v>320142251</v>
      </c>
      <c r="E41">
        <v>293685421</v>
      </c>
      <c r="F41">
        <v>263293473</v>
      </c>
      <c r="G41">
        <v>256648688</v>
      </c>
      <c r="H41">
        <v>241761759</v>
      </c>
      <c r="I41">
        <v>216878025</v>
      </c>
      <c r="J41">
        <v>187586393</v>
      </c>
      <c r="K41">
        <v>166623597</v>
      </c>
      <c r="L41">
        <v>131817300</v>
      </c>
      <c r="M41">
        <v>102350843</v>
      </c>
      <c r="N41">
        <v>90089074</v>
      </c>
      <c r="O41">
        <v>71501961</v>
      </c>
      <c r="P41">
        <v>53340296</v>
      </c>
      <c r="Q41">
        <v>32844815</v>
      </c>
      <c r="R41">
        <v>15903813</v>
      </c>
      <c r="S41">
        <v>6918926</v>
      </c>
      <c r="T41">
        <v>1869031</v>
      </c>
      <c r="U41">
        <v>300842</v>
      </c>
      <c r="V41">
        <v>30870</v>
      </c>
    </row>
    <row r="42" spans="1:22">
      <c r="A42" t="s">
        <v>111</v>
      </c>
      <c r="B42">
        <v>299390590</v>
      </c>
      <c r="C42">
        <v>298160508</v>
      </c>
      <c r="D42">
        <v>303114668</v>
      </c>
      <c r="E42">
        <v>280249751</v>
      </c>
      <c r="F42">
        <v>252858696</v>
      </c>
      <c r="G42">
        <v>248340800</v>
      </c>
      <c r="H42">
        <v>235353584</v>
      </c>
      <c r="I42">
        <v>212731253</v>
      </c>
      <c r="J42">
        <v>185372807</v>
      </c>
      <c r="K42">
        <v>166620229</v>
      </c>
      <c r="L42">
        <v>133279780</v>
      </c>
      <c r="M42">
        <v>105323255</v>
      </c>
      <c r="N42">
        <v>96457449</v>
      </c>
      <c r="O42">
        <v>80681867</v>
      </c>
      <c r="P42">
        <v>65745284</v>
      </c>
      <c r="Q42">
        <v>47023317</v>
      </c>
      <c r="R42">
        <v>26318358</v>
      </c>
      <c r="S42">
        <v>14463400</v>
      </c>
      <c r="T42">
        <v>5089866</v>
      </c>
      <c r="U42">
        <v>1085881</v>
      </c>
      <c r="V42">
        <v>138098</v>
      </c>
    </row>
  </sheetData>
  <phoneticPr fontId="23" type="noConversion"/>
  <pageMargins left="0.7" right="0.7" top="0.75" bottom="0.75" header="0.3" footer="0.3"/>
  <pageSetup paperSize="9" orientation="portrait" r:id="rId1"/>
  <drawing r:id="rId2"/>
  <legacyDrawing r:id="rId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O98"/>
  <sheetViews>
    <sheetView topLeftCell="A38" zoomScale="90" zoomScaleNormal="90" workbookViewId="0">
      <selection activeCell="D102" sqref="D102"/>
    </sheetView>
  </sheetViews>
  <sheetFormatPr defaultRowHeight="14.4"/>
  <cols>
    <col min="1" max="1" width="9.33203125" bestFit="1" customWidth="1"/>
    <col min="2" max="2" width="11.6640625" bestFit="1" customWidth="1"/>
    <col min="3" max="6" width="10" bestFit="1" customWidth="1"/>
    <col min="7" max="7" width="11.6640625" bestFit="1" customWidth="1"/>
    <col min="8" max="15" width="9.33203125" bestFit="1" customWidth="1"/>
    <col min="16" max="16" width="10" bestFit="1" customWidth="1"/>
    <col min="17" max="17" width="9.33203125" customWidth="1"/>
    <col min="18" max="18" width="12" customWidth="1"/>
    <col min="19" max="19" width="15" bestFit="1" customWidth="1"/>
    <col min="20" max="20" width="11.33203125" customWidth="1"/>
    <col min="21" max="21" width="11.6640625" bestFit="1" customWidth="1"/>
    <col min="22" max="22" width="10.6640625" customWidth="1"/>
    <col min="23" max="29" width="9.6640625" bestFit="1" customWidth="1"/>
    <col min="30" max="31" width="9.33203125" bestFit="1" customWidth="1"/>
    <col min="39" max="39" width="10.5546875" customWidth="1"/>
    <col min="40" max="40" width="11.5546875" customWidth="1"/>
  </cols>
  <sheetData>
    <row r="1" spans="1:41" ht="18.600000000000001" thickBot="1">
      <c r="A1" s="41" t="s">
        <v>112</v>
      </c>
      <c r="B1" s="42"/>
    </row>
    <row r="2" spans="1:41">
      <c r="A2" s="1">
        <v>1900</v>
      </c>
      <c r="B2" s="2" t="s">
        <v>91</v>
      </c>
      <c r="C2" s="2" t="s">
        <v>92</v>
      </c>
      <c r="D2" s="2" t="s">
        <v>93</v>
      </c>
      <c r="E2" s="2" t="s">
        <v>94</v>
      </c>
      <c r="F2" s="2" t="s">
        <v>95</v>
      </c>
      <c r="G2" s="2" t="s">
        <v>96</v>
      </c>
      <c r="H2" s="2" t="s">
        <v>97</v>
      </c>
      <c r="I2" s="2" t="s">
        <v>98</v>
      </c>
      <c r="J2" s="2" t="s">
        <v>99</v>
      </c>
      <c r="K2" s="2" t="s">
        <v>100</v>
      </c>
      <c r="L2" s="2" t="s">
        <v>101</v>
      </c>
      <c r="M2" s="2" t="s">
        <v>102</v>
      </c>
      <c r="N2" s="2" t="s">
        <v>103</v>
      </c>
      <c r="O2" s="2" t="s">
        <v>104</v>
      </c>
      <c r="P2" s="2" t="s">
        <v>105</v>
      </c>
      <c r="Q2" s="2" t="s">
        <v>106</v>
      </c>
      <c r="R2" s="2" t="s">
        <v>107</v>
      </c>
      <c r="S2" s="2" t="s">
        <v>108</v>
      </c>
      <c r="T2" s="3" t="s">
        <v>109</v>
      </c>
    </row>
    <row r="3" spans="1:41">
      <c r="A3" s="22" t="s">
        <v>110</v>
      </c>
      <c r="B3">
        <v>22103628</v>
      </c>
      <c r="C3">
        <v>19632050</v>
      </c>
      <c r="D3">
        <v>17101336</v>
      </c>
      <c r="E3">
        <v>14569099</v>
      </c>
      <c r="F3">
        <v>12411817</v>
      </c>
      <c r="G3">
        <v>10309231</v>
      </c>
      <c r="H3">
        <v>8320181</v>
      </c>
      <c r="I3">
        <v>6500817</v>
      </c>
      <c r="J3">
        <v>4898307</v>
      </c>
      <c r="K3">
        <v>3544900</v>
      </c>
      <c r="L3">
        <v>2337142</v>
      </c>
      <c r="M3">
        <v>1237004</v>
      </c>
      <c r="N3">
        <v>562783</v>
      </c>
      <c r="O3">
        <v>216869</v>
      </c>
      <c r="P3">
        <v>76615</v>
      </c>
      <c r="Q3">
        <v>20735</v>
      </c>
      <c r="R3">
        <v>5612</v>
      </c>
      <c r="S3">
        <v>1276</v>
      </c>
      <c r="T3" s="15">
        <v>260</v>
      </c>
    </row>
    <row r="4" spans="1:41" ht="15" thickBot="1">
      <c r="A4" s="19" t="s">
        <v>111</v>
      </c>
      <c r="B4" s="16">
        <v>15232172</v>
      </c>
      <c r="C4" s="16">
        <v>13528944</v>
      </c>
      <c r="D4" s="16">
        <v>11784966</v>
      </c>
      <c r="E4" s="16">
        <v>10039937</v>
      </c>
      <c r="F4" s="16">
        <v>8553299</v>
      </c>
      <c r="G4" s="16">
        <v>7104354</v>
      </c>
      <c r="H4" s="16">
        <v>5733649</v>
      </c>
      <c r="I4" s="16">
        <v>4479879</v>
      </c>
      <c r="J4" s="16">
        <v>3375548</v>
      </c>
      <c r="K4" s="16">
        <v>2442881</v>
      </c>
      <c r="L4" s="16">
        <v>1610584</v>
      </c>
      <c r="M4" s="16">
        <v>852451</v>
      </c>
      <c r="N4" s="16">
        <v>387828</v>
      </c>
      <c r="O4" s="16">
        <v>149450</v>
      </c>
      <c r="P4" s="16">
        <v>52798</v>
      </c>
      <c r="Q4" s="16">
        <v>14289</v>
      </c>
      <c r="R4" s="16">
        <v>3867</v>
      </c>
      <c r="S4" s="16">
        <v>880</v>
      </c>
      <c r="T4" s="17">
        <v>179</v>
      </c>
    </row>
    <row r="5" spans="1:41" ht="15" thickBot="1"/>
    <row r="6" spans="1:41">
      <c r="A6" s="1">
        <v>1960</v>
      </c>
      <c r="B6" s="2" t="s">
        <v>91</v>
      </c>
      <c r="C6" s="2" t="s">
        <v>92</v>
      </c>
      <c r="D6" s="2" t="s">
        <v>93</v>
      </c>
      <c r="E6" s="2" t="s">
        <v>94</v>
      </c>
      <c r="F6" s="2" t="s">
        <v>95</v>
      </c>
      <c r="G6" s="2" t="s">
        <v>96</v>
      </c>
      <c r="H6" s="2" t="s">
        <v>97</v>
      </c>
      <c r="I6" s="2" t="s">
        <v>98</v>
      </c>
      <c r="J6" s="2" t="s">
        <v>99</v>
      </c>
      <c r="K6" s="2" t="s">
        <v>100</v>
      </c>
      <c r="L6" s="2" t="s">
        <v>101</v>
      </c>
      <c r="M6" s="2" t="s">
        <v>102</v>
      </c>
      <c r="N6" s="2" t="s">
        <v>103</v>
      </c>
      <c r="O6" s="2" t="s">
        <v>104</v>
      </c>
      <c r="P6" s="2" t="s">
        <v>105</v>
      </c>
      <c r="Q6" s="2" t="s">
        <v>106</v>
      </c>
      <c r="R6" s="2" t="s">
        <v>107</v>
      </c>
      <c r="S6" s="2" t="s">
        <v>108</v>
      </c>
      <c r="T6" s="3" t="s">
        <v>109</v>
      </c>
    </row>
    <row r="7" spans="1:41">
      <c r="A7" s="22" t="s">
        <v>110</v>
      </c>
      <c r="B7">
        <v>27453366</v>
      </c>
      <c r="C7">
        <v>27083844</v>
      </c>
      <c r="D7">
        <v>26353676</v>
      </c>
      <c r="E7">
        <v>24966104</v>
      </c>
      <c r="F7">
        <v>23056508</v>
      </c>
      <c r="G7">
        <v>20950388</v>
      </c>
      <c r="H7">
        <v>18912976</v>
      </c>
      <c r="I7">
        <v>16237323</v>
      </c>
      <c r="J7">
        <v>13919356</v>
      </c>
      <c r="K7">
        <v>11917498</v>
      </c>
      <c r="L7">
        <v>10181086</v>
      </c>
      <c r="M7">
        <v>7032868.5</v>
      </c>
      <c r="N7">
        <v>4727797</v>
      </c>
      <c r="O7">
        <v>3094453</v>
      </c>
      <c r="P7">
        <v>1973269.5</v>
      </c>
      <c r="Q7">
        <v>1226834.25</v>
      </c>
      <c r="R7">
        <v>744262.8125</v>
      </c>
      <c r="S7">
        <v>440917.5625</v>
      </c>
      <c r="T7" s="15">
        <v>591390.375</v>
      </c>
    </row>
    <row r="8" spans="1:41" ht="15" thickBot="1">
      <c r="A8" s="19" t="s">
        <v>111</v>
      </c>
      <c r="B8" s="16">
        <v>23703646</v>
      </c>
      <c r="C8" s="16">
        <v>20419964</v>
      </c>
      <c r="D8" s="16">
        <v>18085356</v>
      </c>
      <c r="E8" s="16">
        <v>16288807</v>
      </c>
      <c r="F8" s="16">
        <v>14784453</v>
      </c>
      <c r="G8" s="16">
        <v>13461002</v>
      </c>
      <c r="H8" s="16">
        <v>12275132</v>
      </c>
      <c r="I8" s="16">
        <v>10655375</v>
      </c>
      <c r="J8" s="16">
        <v>9225471</v>
      </c>
      <c r="K8" s="16">
        <v>7964565</v>
      </c>
      <c r="L8" s="16">
        <v>6850903.5</v>
      </c>
      <c r="M8" s="16">
        <v>4754890</v>
      </c>
      <c r="N8" s="16">
        <v>3209098.75</v>
      </c>
      <c r="O8" s="16">
        <v>2107359.5</v>
      </c>
      <c r="P8" s="16">
        <v>1347476.5</v>
      </c>
      <c r="Q8" s="16">
        <v>839613.3125</v>
      </c>
      <c r="R8" s="16">
        <v>510251.5</v>
      </c>
      <c r="S8" s="16">
        <v>302700.625</v>
      </c>
      <c r="T8" s="17">
        <v>406745.5</v>
      </c>
    </row>
    <row r="9" spans="1:41" ht="15" thickBot="1"/>
    <row r="10" spans="1:41">
      <c r="A10" s="1">
        <v>2016</v>
      </c>
      <c r="B10" s="2" t="s">
        <v>91</v>
      </c>
      <c r="C10" s="2" t="s">
        <v>92</v>
      </c>
      <c r="D10" s="2" t="s">
        <v>93</v>
      </c>
      <c r="E10" s="2" t="s">
        <v>94</v>
      </c>
      <c r="F10" s="2" t="s">
        <v>95</v>
      </c>
      <c r="G10" s="2" t="s">
        <v>96</v>
      </c>
      <c r="H10" s="2" t="s">
        <v>97</v>
      </c>
      <c r="I10" s="2" t="s">
        <v>98</v>
      </c>
      <c r="J10" s="2" t="s">
        <v>99</v>
      </c>
      <c r="K10" s="2" t="s">
        <v>100</v>
      </c>
      <c r="L10" s="2" t="s">
        <v>101</v>
      </c>
      <c r="M10" s="2" t="s">
        <v>102</v>
      </c>
      <c r="N10" s="2" t="s">
        <v>103</v>
      </c>
      <c r="O10" s="2" t="s">
        <v>104</v>
      </c>
      <c r="P10" s="2" t="s">
        <v>105</v>
      </c>
      <c r="Q10" s="2" t="s">
        <v>106</v>
      </c>
      <c r="R10" s="2" t="s">
        <v>107</v>
      </c>
      <c r="S10" s="2" t="s">
        <v>108</v>
      </c>
      <c r="T10" s="3" t="s">
        <v>109</v>
      </c>
      <c r="V10" s="1" t="s">
        <v>118</v>
      </c>
      <c r="W10" s="2" t="s">
        <v>91</v>
      </c>
      <c r="X10" s="2" t="s">
        <v>92</v>
      </c>
      <c r="Y10" s="2" t="s">
        <v>93</v>
      </c>
      <c r="Z10" s="2" t="s">
        <v>94</v>
      </c>
      <c r="AA10" s="2" t="s">
        <v>95</v>
      </c>
      <c r="AB10" s="2" t="s">
        <v>96</v>
      </c>
      <c r="AC10" s="2" t="s">
        <v>97</v>
      </c>
      <c r="AD10" s="2" t="s">
        <v>98</v>
      </c>
      <c r="AE10" s="2" t="s">
        <v>99</v>
      </c>
      <c r="AF10" s="2" t="s">
        <v>100</v>
      </c>
      <c r="AG10" s="2" t="s">
        <v>101</v>
      </c>
      <c r="AH10" s="2" t="s">
        <v>102</v>
      </c>
      <c r="AI10" s="2" t="s">
        <v>103</v>
      </c>
      <c r="AJ10" s="2" t="s">
        <v>104</v>
      </c>
      <c r="AK10" s="2" t="s">
        <v>105</v>
      </c>
      <c r="AL10" s="2" t="s">
        <v>106</v>
      </c>
      <c r="AM10" s="2" t="s">
        <v>107</v>
      </c>
      <c r="AN10" s="2" t="s">
        <v>108</v>
      </c>
      <c r="AO10" s="3" t="s">
        <v>109</v>
      </c>
    </row>
    <row r="11" spans="1:41">
      <c r="A11" s="22" t="s">
        <v>110</v>
      </c>
      <c r="B11">
        <v>49355152</v>
      </c>
      <c r="C11">
        <v>46180036</v>
      </c>
      <c r="D11">
        <v>42691364</v>
      </c>
      <c r="E11">
        <v>39120184</v>
      </c>
      <c r="F11">
        <v>35743564</v>
      </c>
      <c r="G11">
        <v>32770040</v>
      </c>
      <c r="H11">
        <v>30282794</v>
      </c>
      <c r="I11">
        <v>27361884</v>
      </c>
      <c r="J11">
        <v>24925750</v>
      </c>
      <c r="K11">
        <v>22851078</v>
      </c>
      <c r="L11">
        <v>21031620</v>
      </c>
      <c r="M11">
        <v>16176106</v>
      </c>
      <c r="N11">
        <v>12184178</v>
      </c>
      <c r="O11">
        <v>8977545</v>
      </c>
      <c r="P11">
        <v>6465187.5</v>
      </c>
      <c r="Q11">
        <v>4547908</v>
      </c>
      <c r="R11">
        <v>3124102.25</v>
      </c>
      <c r="S11">
        <v>2095692.5</v>
      </c>
      <c r="T11" s="15">
        <v>3850857</v>
      </c>
      <c r="V11" s="22" t="s">
        <v>110</v>
      </c>
      <c r="W11">
        <v>0</v>
      </c>
      <c r="X11">
        <v>58644300</v>
      </c>
      <c r="Y11">
        <v>43428600</v>
      </c>
      <c r="Z11">
        <v>41393100</v>
      </c>
      <c r="AA11">
        <v>38970200</v>
      </c>
      <c r="AB11">
        <v>36430500</v>
      </c>
      <c r="AC11">
        <v>39597600</v>
      </c>
      <c r="AD11">
        <v>39500200</v>
      </c>
      <c r="AE11">
        <v>33934600</v>
      </c>
      <c r="AF11">
        <v>29793500</v>
      </c>
      <c r="AG11">
        <v>31461800</v>
      </c>
      <c r="AH11">
        <v>24332400</v>
      </c>
      <c r="AI11">
        <v>17026900</v>
      </c>
      <c r="AJ11">
        <v>12910000</v>
      </c>
      <c r="AK11">
        <v>7908300</v>
      </c>
      <c r="AL11">
        <v>3542100</v>
      </c>
      <c r="AM11">
        <v>1137020</v>
      </c>
      <c r="AN11">
        <v>216500</v>
      </c>
      <c r="AO11" s="15">
        <v>30920</v>
      </c>
    </row>
    <row r="12" spans="1:41" ht="15" thickBot="1">
      <c r="A12" s="19" t="s">
        <v>111</v>
      </c>
      <c r="B12" s="16">
        <v>51167344</v>
      </c>
      <c r="C12" s="16">
        <v>47529548</v>
      </c>
      <c r="D12" s="16">
        <v>43391720</v>
      </c>
      <c r="E12" s="16">
        <v>39068428</v>
      </c>
      <c r="F12" s="16">
        <v>34954892</v>
      </c>
      <c r="G12" s="16">
        <v>31344856</v>
      </c>
      <c r="H12" s="16">
        <v>28342408</v>
      </c>
      <c r="I12" s="16">
        <v>25086662</v>
      </c>
      <c r="J12" s="16">
        <v>22371872</v>
      </c>
      <c r="K12" s="16">
        <v>20029026</v>
      </c>
      <c r="L12" s="16">
        <v>17933762</v>
      </c>
      <c r="M12" s="16">
        <v>13439859</v>
      </c>
      <c r="N12" s="16">
        <v>9843769</v>
      </c>
      <c r="O12" s="16">
        <v>7045061</v>
      </c>
      <c r="P12" s="16">
        <v>4928278</v>
      </c>
      <c r="Q12" s="16">
        <v>3371815.75</v>
      </c>
      <c r="R12" s="16">
        <v>2258046.5</v>
      </c>
      <c r="S12" s="16">
        <v>1481360.875</v>
      </c>
      <c r="T12" s="17">
        <v>2626778.25</v>
      </c>
      <c r="V12" s="19" t="s">
        <v>111</v>
      </c>
      <c r="W12" s="16">
        <v>0</v>
      </c>
      <c r="X12" s="16">
        <v>50042000</v>
      </c>
      <c r="Y12" s="16">
        <v>41253500</v>
      </c>
      <c r="Z12" s="16">
        <v>40336000</v>
      </c>
      <c r="AA12" s="16">
        <v>38881300</v>
      </c>
      <c r="AB12" s="16">
        <v>35549400</v>
      </c>
      <c r="AC12" s="16">
        <v>42318800</v>
      </c>
      <c r="AD12" s="16">
        <v>44112300</v>
      </c>
      <c r="AE12" s="16">
        <v>37772900</v>
      </c>
      <c r="AF12" s="16">
        <v>33519700</v>
      </c>
      <c r="AG12" s="16">
        <v>33544900</v>
      </c>
      <c r="AH12" s="16">
        <v>25560700</v>
      </c>
      <c r="AI12" s="16">
        <v>17449800</v>
      </c>
      <c r="AJ12" s="16">
        <v>13697400</v>
      </c>
      <c r="AK12" s="16">
        <v>9330280</v>
      </c>
      <c r="AL12" s="16">
        <v>5248430</v>
      </c>
      <c r="AM12" s="16">
        <v>2442120</v>
      </c>
      <c r="AN12" s="16">
        <v>633050</v>
      </c>
      <c r="AO12" s="17">
        <v>141850</v>
      </c>
    </row>
    <row r="14" spans="1:41" ht="18.600000000000001" thickBot="1">
      <c r="A14" s="41" t="s">
        <v>114</v>
      </c>
      <c r="B14" s="41"/>
    </row>
    <row r="15" spans="1:41">
      <c r="A15" s="1">
        <v>1900</v>
      </c>
      <c r="B15" s="2" t="s">
        <v>92</v>
      </c>
      <c r="C15" s="2" t="s">
        <v>93</v>
      </c>
      <c r="D15" s="2" t="s">
        <v>94</v>
      </c>
      <c r="E15" s="2" t="s">
        <v>95</v>
      </c>
      <c r="F15" s="2" t="s">
        <v>96</v>
      </c>
      <c r="G15" s="2" t="s">
        <v>97</v>
      </c>
      <c r="H15" s="2" t="s">
        <v>98</v>
      </c>
      <c r="I15" s="2" t="s">
        <v>99</v>
      </c>
      <c r="J15" s="2" t="s">
        <v>100</v>
      </c>
      <c r="K15" s="2" t="s">
        <v>101</v>
      </c>
      <c r="L15" s="2" t="s">
        <v>102</v>
      </c>
      <c r="M15" s="2" t="s">
        <v>103</v>
      </c>
      <c r="N15" s="2" t="s">
        <v>104</v>
      </c>
      <c r="O15" s="2" t="s">
        <v>105</v>
      </c>
      <c r="P15" s="2" t="s">
        <v>106</v>
      </c>
      <c r="Q15" s="2" t="s">
        <v>107</v>
      </c>
      <c r="R15" s="2" t="s">
        <v>108</v>
      </c>
      <c r="S15" s="3" t="s">
        <v>109</v>
      </c>
    </row>
    <row r="16" spans="1:41">
      <c r="A16" s="22" t="s">
        <v>110</v>
      </c>
      <c r="B16">
        <v>16670724</v>
      </c>
      <c r="C16">
        <v>14521746</v>
      </c>
      <c r="D16">
        <v>12371475</v>
      </c>
      <c r="E16">
        <v>10539600</v>
      </c>
      <c r="F16">
        <v>8754171</v>
      </c>
      <c r="G16">
        <v>7065152</v>
      </c>
      <c r="H16">
        <v>5520224</v>
      </c>
      <c r="I16">
        <v>4159439</v>
      </c>
      <c r="J16">
        <v>3010182</v>
      </c>
      <c r="K16">
        <v>1984604</v>
      </c>
      <c r="L16">
        <v>1050413</v>
      </c>
      <c r="M16">
        <v>477892</v>
      </c>
      <c r="N16">
        <v>184157</v>
      </c>
      <c r="O16">
        <v>65059</v>
      </c>
      <c r="P16">
        <v>17607</v>
      </c>
      <c r="Q16">
        <v>4765</v>
      </c>
      <c r="R16">
        <v>1084</v>
      </c>
      <c r="S16" s="15">
        <v>220</v>
      </c>
    </row>
    <row r="17" spans="1:40" ht="15" thickBot="1">
      <c r="A17" s="19" t="s">
        <v>111</v>
      </c>
      <c r="B17" s="16">
        <v>14360273</v>
      </c>
      <c r="C17" s="16">
        <v>12509131</v>
      </c>
      <c r="D17" s="16">
        <v>10656873</v>
      </c>
      <c r="E17" s="16">
        <v>9078884</v>
      </c>
      <c r="F17" s="16">
        <v>7540904</v>
      </c>
      <c r="G17" s="16">
        <v>6085972</v>
      </c>
      <c r="H17" s="16">
        <v>4755160</v>
      </c>
      <c r="I17" s="16">
        <v>3582970</v>
      </c>
      <c r="J17" s="16">
        <v>2592992</v>
      </c>
      <c r="K17" s="16">
        <v>1709552</v>
      </c>
      <c r="L17" s="16">
        <v>904833</v>
      </c>
      <c r="M17" s="16">
        <v>411660</v>
      </c>
      <c r="N17" s="16">
        <v>158634</v>
      </c>
      <c r="O17" s="16">
        <v>56042</v>
      </c>
      <c r="P17" s="16">
        <v>15167</v>
      </c>
      <c r="Q17" s="16">
        <v>4105</v>
      </c>
      <c r="R17" s="16">
        <v>934</v>
      </c>
      <c r="S17" s="17">
        <v>190</v>
      </c>
    </row>
    <row r="18" spans="1:40" ht="15" thickBot="1"/>
    <row r="19" spans="1:40">
      <c r="A19" s="1">
        <v>1960</v>
      </c>
      <c r="B19" s="2" t="s">
        <v>92</v>
      </c>
      <c r="C19" s="2" t="s">
        <v>93</v>
      </c>
      <c r="D19" s="2" t="s">
        <v>94</v>
      </c>
      <c r="E19" s="2" t="s">
        <v>95</v>
      </c>
      <c r="F19" s="2" t="s">
        <v>96</v>
      </c>
      <c r="G19" s="2" t="s">
        <v>97</v>
      </c>
      <c r="H19" s="2" t="s">
        <v>98</v>
      </c>
      <c r="I19" s="2" t="s">
        <v>99</v>
      </c>
      <c r="J19" s="2" t="s">
        <v>100</v>
      </c>
      <c r="K19" s="2" t="s">
        <v>101</v>
      </c>
      <c r="L19" s="2" t="s">
        <v>102</v>
      </c>
      <c r="M19" s="2" t="s">
        <v>103</v>
      </c>
      <c r="N19" s="2" t="s">
        <v>104</v>
      </c>
      <c r="O19" s="2" t="s">
        <v>105</v>
      </c>
      <c r="P19" s="2" t="s">
        <v>106</v>
      </c>
      <c r="Q19" s="2" t="s">
        <v>107</v>
      </c>
      <c r="R19" s="2" t="s">
        <v>108</v>
      </c>
      <c r="S19" s="3" t="s">
        <v>109</v>
      </c>
    </row>
    <row r="20" spans="1:40">
      <c r="A20" s="22" t="s">
        <v>110</v>
      </c>
      <c r="B20">
        <v>34912028</v>
      </c>
      <c r="C20">
        <v>28213400</v>
      </c>
      <c r="D20">
        <v>23206790</v>
      </c>
      <c r="E20">
        <v>19685154</v>
      </c>
      <c r="F20">
        <v>17210244</v>
      </c>
      <c r="G20">
        <v>15373832</v>
      </c>
      <c r="H20">
        <v>13222000</v>
      </c>
      <c r="I20">
        <v>11395962</v>
      </c>
      <c r="J20">
        <v>9810403</v>
      </c>
      <c r="K20">
        <v>8417559</v>
      </c>
      <c r="L20">
        <v>5830371</v>
      </c>
      <c r="M20">
        <v>3927121.5</v>
      </c>
      <c r="N20">
        <v>2574117.75</v>
      </c>
      <c r="O20">
        <v>1643345.5</v>
      </c>
      <c r="P20">
        <v>1022757.6875</v>
      </c>
      <c r="Q20">
        <v>621102</v>
      </c>
      <c r="R20">
        <v>368372.6875</v>
      </c>
      <c r="S20" s="15">
        <v>495679.0625</v>
      </c>
    </row>
    <row r="21" spans="1:40" ht="15" thickBot="1">
      <c r="A21" s="19" t="s">
        <v>111</v>
      </c>
      <c r="B21" s="16">
        <v>19346240</v>
      </c>
      <c r="C21" s="16">
        <v>17579706</v>
      </c>
      <c r="D21" s="16">
        <v>16104434</v>
      </c>
      <c r="E21" s="16">
        <v>14793700</v>
      </c>
      <c r="F21" s="16">
        <v>13599627</v>
      </c>
      <c r="G21" s="16">
        <v>12504715</v>
      </c>
      <c r="H21" s="16">
        <v>10929231</v>
      </c>
      <c r="I21" s="16">
        <v>9516900</v>
      </c>
      <c r="J21" s="16">
        <v>8253179</v>
      </c>
      <c r="K21" s="16">
        <v>7122234</v>
      </c>
      <c r="L21" s="16">
        <v>4952401.5</v>
      </c>
      <c r="M21" s="16">
        <v>3346427.75</v>
      </c>
      <c r="N21" s="16">
        <v>2199201.25</v>
      </c>
      <c r="O21" s="16">
        <v>1406921.375</v>
      </c>
      <c r="P21" s="16">
        <v>877048.6875</v>
      </c>
      <c r="Q21" s="16">
        <v>533285.375</v>
      </c>
      <c r="R21" s="16">
        <v>316588.40625</v>
      </c>
      <c r="S21" s="17">
        <v>426500.21875</v>
      </c>
    </row>
    <row r="22" spans="1:40" ht="15" thickBot="1"/>
    <row r="23" spans="1:40">
      <c r="A23" s="1">
        <v>2016</v>
      </c>
      <c r="B23" s="2" t="s">
        <v>92</v>
      </c>
      <c r="C23" s="2" t="s">
        <v>93</v>
      </c>
      <c r="D23" s="2" t="s">
        <v>94</v>
      </c>
      <c r="E23" s="2" t="s">
        <v>95</v>
      </c>
      <c r="F23" s="2" t="s">
        <v>96</v>
      </c>
      <c r="G23" s="2" t="s">
        <v>97</v>
      </c>
      <c r="H23" s="2" t="s">
        <v>98</v>
      </c>
      <c r="I23" s="2" t="s">
        <v>99</v>
      </c>
      <c r="J23" s="2" t="s">
        <v>100</v>
      </c>
      <c r="K23" s="2" t="s">
        <v>101</v>
      </c>
      <c r="L23" s="2" t="s">
        <v>102</v>
      </c>
      <c r="M23" s="2" t="s">
        <v>103</v>
      </c>
      <c r="N23" s="2" t="s">
        <v>104</v>
      </c>
      <c r="O23" s="2" t="s">
        <v>105</v>
      </c>
      <c r="P23" s="2" t="s">
        <v>106</v>
      </c>
      <c r="Q23" s="2" t="s">
        <v>107</v>
      </c>
      <c r="R23" s="2" t="s">
        <v>108</v>
      </c>
      <c r="S23" s="3" t="s">
        <v>109</v>
      </c>
      <c r="V23" s="1" t="s">
        <v>118</v>
      </c>
      <c r="W23" s="2" t="s">
        <v>92</v>
      </c>
      <c r="X23" s="2" t="s">
        <v>93</v>
      </c>
      <c r="Y23" s="2" t="s">
        <v>94</v>
      </c>
      <c r="Z23" s="2" t="s">
        <v>95</v>
      </c>
      <c r="AA23" s="2" t="s">
        <v>96</v>
      </c>
      <c r="AB23" s="2" t="s">
        <v>97</v>
      </c>
      <c r="AC23" s="2" t="s">
        <v>98</v>
      </c>
      <c r="AD23" s="2" t="s">
        <v>99</v>
      </c>
      <c r="AE23" s="2" t="s">
        <v>100</v>
      </c>
      <c r="AF23" s="2" t="s">
        <v>101</v>
      </c>
      <c r="AG23" s="2" t="s">
        <v>102</v>
      </c>
      <c r="AH23" s="2" t="s">
        <v>103</v>
      </c>
      <c r="AI23" s="2" t="s">
        <v>104</v>
      </c>
      <c r="AJ23" s="2" t="s">
        <v>105</v>
      </c>
      <c r="AK23" s="2" t="s">
        <v>106</v>
      </c>
      <c r="AL23" s="2" t="s">
        <v>107</v>
      </c>
      <c r="AM23" s="2" t="s">
        <v>108</v>
      </c>
      <c r="AN23" s="3" t="s">
        <v>109</v>
      </c>
    </row>
    <row r="24" spans="1:40">
      <c r="A24" s="22" t="s">
        <v>110</v>
      </c>
      <c r="B24">
        <v>155434912</v>
      </c>
      <c r="C24">
        <v>142872688</v>
      </c>
      <c r="D24">
        <v>129689344</v>
      </c>
      <c r="E24">
        <v>116408952</v>
      </c>
      <c r="F24">
        <v>103414288</v>
      </c>
      <c r="G24">
        <v>90971616</v>
      </c>
      <c r="H24">
        <v>76969688</v>
      </c>
      <c r="I24">
        <v>64553016</v>
      </c>
      <c r="J24">
        <v>53694360</v>
      </c>
      <c r="K24">
        <v>44327076</v>
      </c>
      <c r="L24">
        <v>30926292</v>
      </c>
      <c r="M24">
        <v>21096796</v>
      </c>
      <c r="N24">
        <v>14089957</v>
      </c>
      <c r="O24">
        <v>9226415</v>
      </c>
      <c r="P24">
        <v>5932589.5</v>
      </c>
      <c r="Q24">
        <v>3751444.25</v>
      </c>
      <c r="R24">
        <v>2336159</v>
      </c>
      <c r="S24" s="15">
        <v>3745399.75</v>
      </c>
      <c r="V24" s="22" t="s">
        <v>110</v>
      </c>
      <c r="W24">
        <v>201274000</v>
      </c>
      <c r="X24">
        <v>187154992</v>
      </c>
      <c r="Y24">
        <v>171056992</v>
      </c>
      <c r="Z24">
        <v>150430992</v>
      </c>
      <c r="AA24">
        <v>131800000</v>
      </c>
      <c r="AB24">
        <v>126353000</v>
      </c>
      <c r="AC24">
        <v>114651000</v>
      </c>
      <c r="AD24">
        <v>95380200</v>
      </c>
      <c r="AE24">
        <v>79389200</v>
      </c>
      <c r="AF24">
        <v>61089600</v>
      </c>
      <c r="AG24">
        <v>39254500</v>
      </c>
      <c r="AH24">
        <v>24912400</v>
      </c>
      <c r="AI24">
        <v>16168800</v>
      </c>
      <c r="AJ24">
        <v>8414830</v>
      </c>
      <c r="AK24">
        <v>3875030</v>
      </c>
      <c r="AL24">
        <v>1218450</v>
      </c>
      <c r="AM24">
        <v>219510</v>
      </c>
      <c r="AN24" s="15">
        <v>27390</v>
      </c>
    </row>
    <row r="25" spans="1:40" ht="15" thickBot="1">
      <c r="A25" s="19" t="s">
        <v>111</v>
      </c>
      <c r="B25" s="16">
        <v>152753632</v>
      </c>
      <c r="C25" s="16">
        <v>137745872</v>
      </c>
      <c r="D25" s="16">
        <v>121917656</v>
      </c>
      <c r="E25" s="16">
        <v>106107784</v>
      </c>
      <c r="F25" s="16">
        <v>90921536</v>
      </c>
      <c r="G25" s="16">
        <v>76766208</v>
      </c>
      <c r="H25" s="16">
        <v>62156256</v>
      </c>
      <c r="I25" s="16">
        <v>49744636</v>
      </c>
      <c r="J25" s="16">
        <v>39463400</v>
      </c>
      <c r="K25" s="16">
        <v>31162654</v>
      </c>
      <c r="L25" s="16">
        <v>21032764</v>
      </c>
      <c r="M25" s="16">
        <v>13988510</v>
      </c>
      <c r="N25" s="16">
        <v>9196732</v>
      </c>
      <c r="O25" s="16">
        <v>5991231.5</v>
      </c>
      <c r="P25" s="16">
        <v>3872578</v>
      </c>
      <c r="Q25" s="16">
        <v>2484219.25</v>
      </c>
      <c r="R25" s="16">
        <v>1580460.875</v>
      </c>
      <c r="S25" s="17">
        <v>2715952</v>
      </c>
      <c r="V25" s="19" t="s">
        <v>111</v>
      </c>
      <c r="W25" s="16">
        <v>186190992</v>
      </c>
      <c r="X25" s="16">
        <v>161998992</v>
      </c>
      <c r="Y25" s="16">
        <v>148622000</v>
      </c>
      <c r="Z25" s="16">
        <v>131656000</v>
      </c>
      <c r="AA25" s="16">
        <v>113171000</v>
      </c>
      <c r="AB25" s="16">
        <v>105198000</v>
      </c>
      <c r="AC25" s="16">
        <v>93106200</v>
      </c>
      <c r="AD25" s="16">
        <v>79071896</v>
      </c>
      <c r="AE25" s="16">
        <v>63971500</v>
      </c>
      <c r="AF25" s="16">
        <v>49228900</v>
      </c>
      <c r="AG25" s="16">
        <v>35226700</v>
      </c>
      <c r="AH25" s="16">
        <v>23909600</v>
      </c>
      <c r="AI25" s="16">
        <v>18437800</v>
      </c>
      <c r="AJ25" s="16">
        <v>11293200</v>
      </c>
      <c r="AK25" s="16">
        <v>7291470</v>
      </c>
      <c r="AL25" s="16">
        <v>3091670</v>
      </c>
      <c r="AM25" s="16">
        <v>714480</v>
      </c>
      <c r="AN25" s="17">
        <v>125540</v>
      </c>
    </row>
    <row r="27" spans="1:40" ht="18.600000000000001" thickBot="1">
      <c r="A27" s="41" t="s">
        <v>115</v>
      </c>
      <c r="B27" s="41"/>
    </row>
    <row r="28" spans="1:40">
      <c r="A28" s="1">
        <v>1900</v>
      </c>
      <c r="B28" s="2" t="s">
        <v>93</v>
      </c>
      <c r="C28" s="2" t="s">
        <v>94</v>
      </c>
      <c r="D28" s="2" t="s">
        <v>95</v>
      </c>
      <c r="E28" s="2" t="s">
        <v>96</v>
      </c>
      <c r="F28" s="2" t="s">
        <v>97</v>
      </c>
      <c r="G28" s="2" t="s">
        <v>98</v>
      </c>
      <c r="H28" s="2" t="s">
        <v>99</v>
      </c>
      <c r="I28" s="2" t="s">
        <v>100</v>
      </c>
      <c r="J28" s="2" t="s">
        <v>101</v>
      </c>
      <c r="K28" s="2" t="s">
        <v>102</v>
      </c>
      <c r="L28" s="2" t="s">
        <v>103</v>
      </c>
      <c r="M28" s="2" t="s">
        <v>104</v>
      </c>
      <c r="N28" s="2" t="s">
        <v>105</v>
      </c>
      <c r="O28" s="2" t="s">
        <v>106</v>
      </c>
      <c r="P28" s="2" t="s">
        <v>107</v>
      </c>
      <c r="Q28" s="2" t="s">
        <v>108</v>
      </c>
      <c r="R28" s="3" t="s">
        <v>109</v>
      </c>
      <c r="S28" s="13"/>
    </row>
    <row r="29" spans="1:40">
      <c r="A29" s="22" t="s">
        <v>110</v>
      </c>
      <c r="B29">
        <v>2904350</v>
      </c>
      <c r="C29">
        <v>2474296</v>
      </c>
      <c r="D29">
        <v>2107921</v>
      </c>
      <c r="E29">
        <v>1750835</v>
      </c>
      <c r="F29">
        <v>1413031</v>
      </c>
      <c r="G29">
        <v>1104045</v>
      </c>
      <c r="H29">
        <v>831888</v>
      </c>
      <c r="I29">
        <v>602037</v>
      </c>
      <c r="J29">
        <v>396921</v>
      </c>
      <c r="K29">
        <v>210083</v>
      </c>
      <c r="L29">
        <v>95578</v>
      </c>
      <c r="M29">
        <v>36831</v>
      </c>
      <c r="N29">
        <v>13012</v>
      </c>
      <c r="O29">
        <v>3521</v>
      </c>
      <c r="P29">
        <v>953</v>
      </c>
      <c r="Q29">
        <v>217</v>
      </c>
      <c r="R29" s="15">
        <v>44</v>
      </c>
    </row>
    <row r="30" spans="1:40" ht="15" thickBot="1">
      <c r="A30" s="19" t="s">
        <v>111</v>
      </c>
      <c r="B30" s="16">
        <v>2501826</v>
      </c>
      <c r="C30" s="16">
        <v>2131375</v>
      </c>
      <c r="D30" s="16">
        <v>1815777</v>
      </c>
      <c r="E30" s="16">
        <v>1508181</v>
      </c>
      <c r="F30" s="16">
        <v>1217194</v>
      </c>
      <c r="G30" s="16">
        <v>951032</v>
      </c>
      <c r="H30" s="16">
        <v>716594</v>
      </c>
      <c r="I30" s="16">
        <v>518598</v>
      </c>
      <c r="J30" s="16">
        <v>341910</v>
      </c>
      <c r="K30" s="16">
        <v>180967</v>
      </c>
      <c r="L30" s="16">
        <v>82332</v>
      </c>
      <c r="M30" s="16">
        <v>31727</v>
      </c>
      <c r="N30" s="16">
        <v>11208</v>
      </c>
      <c r="O30" s="16">
        <v>3033</v>
      </c>
      <c r="P30" s="16">
        <v>821</v>
      </c>
      <c r="Q30" s="16">
        <v>187</v>
      </c>
      <c r="R30" s="17">
        <v>38</v>
      </c>
    </row>
    <row r="31" spans="1:40" ht="15" thickBot="1"/>
    <row r="32" spans="1:40">
      <c r="A32" s="1">
        <v>1960</v>
      </c>
      <c r="B32" s="2" t="s">
        <v>93</v>
      </c>
      <c r="C32" s="2" t="s">
        <v>94</v>
      </c>
      <c r="D32" s="2" t="s">
        <v>95</v>
      </c>
      <c r="E32" s="2" t="s">
        <v>96</v>
      </c>
      <c r="F32" s="2" t="s">
        <v>97</v>
      </c>
      <c r="G32" s="2" t="s">
        <v>98</v>
      </c>
      <c r="H32" s="2" t="s">
        <v>99</v>
      </c>
      <c r="I32" s="2" t="s">
        <v>100</v>
      </c>
      <c r="J32" s="2" t="s">
        <v>101</v>
      </c>
      <c r="K32" s="2" t="s">
        <v>102</v>
      </c>
      <c r="L32" s="2" t="s">
        <v>103</v>
      </c>
      <c r="M32" s="2" t="s">
        <v>104</v>
      </c>
      <c r="N32" s="2" t="s">
        <v>105</v>
      </c>
      <c r="O32" s="2" t="s">
        <v>106</v>
      </c>
      <c r="P32" s="2" t="s">
        <v>107</v>
      </c>
      <c r="Q32" s="2" t="s">
        <v>108</v>
      </c>
      <c r="R32" s="3" t="s">
        <v>109</v>
      </c>
      <c r="S32" s="13"/>
    </row>
    <row r="33" spans="1:40">
      <c r="A33" s="22" t="s">
        <v>110</v>
      </c>
      <c r="B33">
        <v>5720803</v>
      </c>
      <c r="C33">
        <v>4718311</v>
      </c>
      <c r="D33">
        <v>4011162</v>
      </c>
      <c r="E33">
        <v>3492965.5</v>
      </c>
      <c r="F33">
        <v>3093397.25</v>
      </c>
      <c r="G33">
        <v>2636225</v>
      </c>
      <c r="H33">
        <v>2254604.75</v>
      </c>
      <c r="I33">
        <v>1929954.875</v>
      </c>
      <c r="J33">
        <v>1649707.25</v>
      </c>
      <c r="K33">
        <v>1140323.5</v>
      </c>
      <c r="L33">
        <v>767145.25</v>
      </c>
      <c r="M33">
        <v>502575.5625</v>
      </c>
      <c r="N33">
        <v>320879.5625</v>
      </c>
      <c r="O33">
        <v>199839.140625</v>
      </c>
      <c r="P33">
        <v>121506.2265625</v>
      </c>
      <c r="Q33">
        <v>72185.328125</v>
      </c>
      <c r="R33" s="15">
        <v>97609.96875</v>
      </c>
    </row>
    <row r="34" spans="1:40" ht="15" thickBot="1">
      <c r="A34" s="19" t="s">
        <v>111</v>
      </c>
      <c r="B34" s="16">
        <v>3862447.5</v>
      </c>
      <c r="C34" s="16">
        <v>3464632.5</v>
      </c>
      <c r="D34" s="16">
        <v>3113183.5</v>
      </c>
      <c r="E34" s="16">
        <v>2804863.5</v>
      </c>
      <c r="F34" s="16">
        <v>2536833.5</v>
      </c>
      <c r="G34" s="16">
        <v>2190987</v>
      </c>
      <c r="H34" s="16">
        <v>1891792.25</v>
      </c>
      <c r="I34" s="16">
        <v>1631021.125</v>
      </c>
      <c r="J34" s="16">
        <v>1401811.75</v>
      </c>
      <c r="K34" s="16">
        <v>972373.625</v>
      </c>
      <c r="L34" s="16">
        <v>655924.75</v>
      </c>
      <c r="M34" s="16">
        <v>430596.09375</v>
      </c>
      <c r="N34" s="16">
        <v>275347.75</v>
      </c>
      <c r="O34" s="16">
        <v>171678.796875</v>
      </c>
      <c r="P34" s="16">
        <v>104471.1015625</v>
      </c>
      <c r="Q34" s="16">
        <v>62101.9609375</v>
      </c>
      <c r="R34" s="17">
        <v>84032.796875</v>
      </c>
    </row>
    <row r="35" spans="1:40" ht="15" thickBot="1"/>
    <row r="36" spans="1:40">
      <c r="A36" s="1">
        <v>2016</v>
      </c>
      <c r="B36" s="2" t="s">
        <v>93</v>
      </c>
      <c r="C36" s="2" t="s">
        <v>94</v>
      </c>
      <c r="D36" s="2" t="s">
        <v>95</v>
      </c>
      <c r="E36" s="2" t="s">
        <v>96</v>
      </c>
      <c r="F36" s="2" t="s">
        <v>97</v>
      </c>
      <c r="G36" s="2" t="s">
        <v>98</v>
      </c>
      <c r="H36" s="2" t="s">
        <v>99</v>
      </c>
      <c r="I36" s="2" t="s">
        <v>100</v>
      </c>
      <c r="J36" s="2" t="s">
        <v>101</v>
      </c>
      <c r="K36" s="2" t="s">
        <v>102</v>
      </c>
      <c r="L36" s="2" t="s">
        <v>103</v>
      </c>
      <c r="M36" s="2" t="s">
        <v>104</v>
      </c>
      <c r="N36" s="2" t="s">
        <v>105</v>
      </c>
      <c r="O36" s="2" t="s">
        <v>106</v>
      </c>
      <c r="P36" s="2" t="s">
        <v>107</v>
      </c>
      <c r="Q36" s="2" t="s">
        <v>108</v>
      </c>
      <c r="R36" s="3" t="s">
        <v>109</v>
      </c>
      <c r="S36" s="13"/>
      <c r="V36" s="1" t="s">
        <v>118</v>
      </c>
      <c r="W36" s="2" t="s">
        <v>93</v>
      </c>
      <c r="X36" s="2" t="s">
        <v>94</v>
      </c>
      <c r="Y36" s="2" t="s">
        <v>95</v>
      </c>
      <c r="Z36" s="2" t="s">
        <v>96</v>
      </c>
      <c r="AA36" s="2" t="s">
        <v>97</v>
      </c>
      <c r="AB36" s="2" t="s">
        <v>98</v>
      </c>
      <c r="AC36" s="2" t="s">
        <v>99</v>
      </c>
      <c r="AD36" s="2" t="s">
        <v>100</v>
      </c>
      <c r="AE36" s="2" t="s">
        <v>101</v>
      </c>
      <c r="AF36" s="2" t="s">
        <v>102</v>
      </c>
      <c r="AG36" s="2" t="s">
        <v>103</v>
      </c>
      <c r="AH36" s="2" t="s">
        <v>104</v>
      </c>
      <c r="AI36" s="2" t="s">
        <v>105</v>
      </c>
      <c r="AJ36" s="2" t="s">
        <v>106</v>
      </c>
      <c r="AK36" s="2" t="s">
        <v>107</v>
      </c>
      <c r="AL36" s="2" t="s">
        <v>108</v>
      </c>
      <c r="AM36" s="3" t="s">
        <v>109</v>
      </c>
      <c r="AN36" s="13"/>
    </row>
    <row r="37" spans="1:40">
      <c r="A37" s="22" t="s">
        <v>110</v>
      </c>
      <c r="B37">
        <v>43999684</v>
      </c>
      <c r="C37">
        <v>38616008</v>
      </c>
      <c r="D37">
        <v>33541514</v>
      </c>
      <c r="E37">
        <v>28847256</v>
      </c>
      <c r="F37">
        <v>24575024</v>
      </c>
      <c r="G37">
        <v>20161422</v>
      </c>
      <c r="H37">
        <v>16402935</v>
      </c>
      <c r="I37">
        <v>13242981</v>
      </c>
      <c r="J37">
        <v>10619861</v>
      </c>
      <c r="K37">
        <v>7233930.5</v>
      </c>
      <c r="L37">
        <v>4824749.5</v>
      </c>
      <c r="M37">
        <v>3155658.5</v>
      </c>
      <c r="N37">
        <v>2027372.875</v>
      </c>
      <c r="O37">
        <v>1281526</v>
      </c>
      <c r="P37">
        <v>798275.375</v>
      </c>
      <c r="Q37">
        <v>490682.3125</v>
      </c>
      <c r="R37" s="15">
        <v>768252.25</v>
      </c>
      <c r="V37" s="22" t="s">
        <v>110</v>
      </c>
      <c r="W37">
        <v>40149500</v>
      </c>
      <c r="X37">
        <v>55622900</v>
      </c>
      <c r="Y37">
        <v>51840000</v>
      </c>
      <c r="Z37">
        <v>43315400</v>
      </c>
      <c r="AA37">
        <v>38761500</v>
      </c>
      <c r="AB37">
        <v>33665200</v>
      </c>
      <c r="AC37">
        <v>29174500</v>
      </c>
      <c r="AD37">
        <v>24227300</v>
      </c>
      <c r="AE37">
        <v>19817300</v>
      </c>
      <c r="AF37">
        <v>14814600</v>
      </c>
      <c r="AG37">
        <v>9258720</v>
      </c>
      <c r="AH37">
        <v>5778800</v>
      </c>
      <c r="AI37">
        <v>3141520</v>
      </c>
      <c r="AJ37">
        <v>1523100</v>
      </c>
      <c r="AK37">
        <v>484300</v>
      </c>
      <c r="AL37">
        <v>83020</v>
      </c>
      <c r="AM37" s="15">
        <v>9460</v>
      </c>
    </row>
    <row r="38" spans="1:40" ht="15" thickBot="1">
      <c r="A38" s="19" t="s">
        <v>111</v>
      </c>
      <c r="B38" s="16">
        <v>38608568</v>
      </c>
      <c r="C38" s="16">
        <v>32963842</v>
      </c>
      <c r="D38" s="16">
        <v>27715490</v>
      </c>
      <c r="E38" s="16">
        <v>22964636</v>
      </c>
      <c r="F38" s="16">
        <v>18768788</v>
      </c>
      <c r="G38" s="16">
        <v>14747308</v>
      </c>
      <c r="H38" s="16">
        <v>11482517</v>
      </c>
      <c r="I38" s="16">
        <v>8893680</v>
      </c>
      <c r="J38" s="16">
        <v>6886528</v>
      </c>
      <c r="K38" s="16">
        <v>4586425</v>
      </c>
      <c r="L38" s="16">
        <v>3020523</v>
      </c>
      <c r="M38" s="16">
        <v>1972035.5</v>
      </c>
      <c r="N38" s="16">
        <v>1278216.125</v>
      </c>
      <c r="O38" s="16">
        <v>822805.25</v>
      </c>
      <c r="P38" s="16">
        <v>525681.25</v>
      </c>
      <c r="Q38" s="16">
        <v>332911.90625</v>
      </c>
      <c r="R38" s="17">
        <v>562849.1875</v>
      </c>
      <c r="V38" s="19" t="s">
        <v>111</v>
      </c>
      <c r="W38" s="16">
        <v>41784500</v>
      </c>
      <c r="X38" s="16">
        <v>56463400</v>
      </c>
      <c r="Y38" s="16">
        <v>51228000</v>
      </c>
      <c r="Z38" s="16">
        <v>42164100</v>
      </c>
      <c r="AA38" s="16">
        <v>35674100</v>
      </c>
      <c r="AB38" s="16">
        <v>28850300</v>
      </c>
      <c r="AC38" s="16">
        <v>24679700</v>
      </c>
      <c r="AD38" s="16">
        <v>20178400</v>
      </c>
      <c r="AE38" s="16">
        <v>15906700</v>
      </c>
      <c r="AF38" s="16">
        <v>11289800</v>
      </c>
      <c r="AG38" s="16">
        <v>6814460</v>
      </c>
      <c r="AH38" s="16">
        <v>4372490</v>
      </c>
      <c r="AI38" s="16">
        <v>2446960</v>
      </c>
      <c r="AJ38" s="16">
        <v>1487090</v>
      </c>
      <c r="AK38" s="16">
        <v>571360</v>
      </c>
      <c r="AL38" s="16">
        <v>128700</v>
      </c>
      <c r="AM38" s="17">
        <v>18130</v>
      </c>
    </row>
    <row r="40" spans="1:40" ht="18.600000000000001" thickBot="1">
      <c r="A40" s="41" t="s">
        <v>215</v>
      </c>
      <c r="B40" s="41"/>
    </row>
    <row r="41" spans="1:40">
      <c r="A41" s="1" t="s">
        <v>112</v>
      </c>
      <c r="B41" s="2" t="s">
        <v>91</v>
      </c>
      <c r="C41" s="2" t="s">
        <v>92</v>
      </c>
      <c r="D41" s="2" t="s">
        <v>93</v>
      </c>
      <c r="E41" s="2" t="s">
        <v>94</v>
      </c>
      <c r="F41" s="2" t="s">
        <v>95</v>
      </c>
      <c r="G41" s="2" t="s">
        <v>96</v>
      </c>
      <c r="H41" s="2" t="s">
        <v>97</v>
      </c>
      <c r="I41" s="2" t="s">
        <v>98</v>
      </c>
      <c r="J41" s="2" t="s">
        <v>99</v>
      </c>
      <c r="K41" s="2" t="s">
        <v>100</v>
      </c>
      <c r="L41" s="2" t="s">
        <v>101</v>
      </c>
      <c r="M41" s="2" t="s">
        <v>102</v>
      </c>
      <c r="N41" s="2" t="s">
        <v>103</v>
      </c>
      <c r="O41" s="2" t="s">
        <v>104</v>
      </c>
      <c r="P41" s="2" t="s">
        <v>105</v>
      </c>
      <c r="Q41" s="2" t="s">
        <v>106</v>
      </c>
      <c r="R41" s="2" t="s">
        <v>107</v>
      </c>
      <c r="S41" s="2" t="s">
        <v>108</v>
      </c>
      <c r="T41" s="3" t="s">
        <v>109</v>
      </c>
    </row>
    <row r="42" spans="1:40">
      <c r="A42" s="22" t="s">
        <v>110</v>
      </c>
      <c r="B42" s="62">
        <v>22103628</v>
      </c>
      <c r="C42" s="62">
        <v>19632050</v>
      </c>
      <c r="D42" s="62">
        <v>17101336</v>
      </c>
      <c r="E42" s="62">
        <v>14569099</v>
      </c>
      <c r="F42" s="62">
        <v>12411817</v>
      </c>
      <c r="G42" s="62">
        <v>10309231</v>
      </c>
      <c r="H42" s="62">
        <v>8320181</v>
      </c>
      <c r="I42" s="62">
        <v>6500817</v>
      </c>
      <c r="J42" s="62">
        <v>4898307</v>
      </c>
      <c r="K42" s="62">
        <v>3544900</v>
      </c>
      <c r="L42" s="62">
        <v>2337142</v>
      </c>
      <c r="M42" s="62">
        <v>1237004</v>
      </c>
      <c r="N42" s="62">
        <v>562783</v>
      </c>
      <c r="O42" s="62">
        <v>216869</v>
      </c>
      <c r="P42" s="62">
        <v>76615</v>
      </c>
      <c r="Q42" s="62">
        <v>20735</v>
      </c>
      <c r="R42" s="62">
        <v>5612</v>
      </c>
      <c r="S42" s="62">
        <v>1276</v>
      </c>
      <c r="T42" s="62">
        <v>260</v>
      </c>
    </row>
    <row r="43" spans="1:40" ht="15" thickBot="1">
      <c r="A43" s="19" t="s">
        <v>111</v>
      </c>
      <c r="B43" s="62">
        <v>15232172</v>
      </c>
      <c r="C43" s="62">
        <v>13528944</v>
      </c>
      <c r="D43" s="62">
        <v>11784966</v>
      </c>
      <c r="E43" s="62">
        <v>10039937</v>
      </c>
      <c r="F43" s="62">
        <v>8553299</v>
      </c>
      <c r="G43" s="62">
        <v>7104354</v>
      </c>
      <c r="H43" s="62">
        <v>5733649</v>
      </c>
      <c r="I43" s="62">
        <v>4479879</v>
      </c>
      <c r="J43" s="62">
        <v>3375548</v>
      </c>
      <c r="K43" s="62">
        <v>2442881</v>
      </c>
      <c r="L43" s="62">
        <v>1610584</v>
      </c>
      <c r="M43" s="62">
        <v>852451</v>
      </c>
      <c r="N43" s="62">
        <v>387828</v>
      </c>
      <c r="O43" s="62">
        <v>149450</v>
      </c>
      <c r="P43" s="62">
        <v>52798</v>
      </c>
      <c r="Q43" s="62">
        <v>14289</v>
      </c>
      <c r="R43" s="62">
        <v>3867</v>
      </c>
      <c r="S43" s="62">
        <v>880</v>
      </c>
      <c r="T43" s="62">
        <v>179</v>
      </c>
    </row>
    <row r="44" spans="1:40" ht="15" thickBot="1"/>
    <row r="45" spans="1:40">
      <c r="A45" s="1" t="s">
        <v>114</v>
      </c>
      <c r="B45" s="63" t="s">
        <v>92</v>
      </c>
      <c r="C45" s="63" t="s">
        <v>93</v>
      </c>
      <c r="D45" s="63" t="s">
        <v>94</v>
      </c>
      <c r="E45" s="63" t="s">
        <v>95</v>
      </c>
      <c r="F45" s="63" t="s">
        <v>96</v>
      </c>
      <c r="G45" s="63" t="s">
        <v>97</v>
      </c>
      <c r="H45" s="63" t="s">
        <v>98</v>
      </c>
      <c r="I45" s="63" t="s">
        <v>99</v>
      </c>
      <c r="J45" s="63" t="s">
        <v>100</v>
      </c>
      <c r="K45" s="63" t="s">
        <v>101</v>
      </c>
      <c r="L45" s="63" t="s">
        <v>102</v>
      </c>
      <c r="M45" s="63" t="s">
        <v>103</v>
      </c>
      <c r="N45" s="63" t="s">
        <v>104</v>
      </c>
      <c r="O45" s="63" t="s">
        <v>105</v>
      </c>
      <c r="P45" s="63" t="s">
        <v>106</v>
      </c>
      <c r="Q45" s="63" t="s">
        <v>107</v>
      </c>
      <c r="R45" s="63" t="s">
        <v>108</v>
      </c>
      <c r="S45" s="63" t="s">
        <v>109</v>
      </c>
    </row>
    <row r="46" spans="1:40">
      <c r="A46" s="22" t="s">
        <v>110</v>
      </c>
      <c r="B46" s="62">
        <v>16670724</v>
      </c>
      <c r="C46" s="62">
        <v>14521746</v>
      </c>
      <c r="D46" s="62">
        <v>12371475</v>
      </c>
      <c r="E46" s="62">
        <v>10539600</v>
      </c>
      <c r="F46" s="62">
        <v>8754171</v>
      </c>
      <c r="G46" s="62">
        <v>7065152</v>
      </c>
      <c r="H46" s="62">
        <v>5520224</v>
      </c>
      <c r="I46" s="62">
        <v>4159439</v>
      </c>
      <c r="J46" s="62">
        <v>3010182</v>
      </c>
      <c r="K46" s="62">
        <v>1984604</v>
      </c>
      <c r="L46" s="62">
        <v>1050413</v>
      </c>
      <c r="M46" s="62">
        <v>477892</v>
      </c>
      <c r="N46" s="62">
        <v>184157</v>
      </c>
      <c r="O46" s="62">
        <v>65059</v>
      </c>
      <c r="P46" s="62">
        <v>17607</v>
      </c>
      <c r="Q46" s="62">
        <v>4765</v>
      </c>
      <c r="R46" s="62">
        <v>1084</v>
      </c>
      <c r="S46" s="62">
        <v>220</v>
      </c>
    </row>
    <row r="47" spans="1:40" ht="15" thickBot="1">
      <c r="A47" s="19" t="s">
        <v>111</v>
      </c>
      <c r="B47" s="62">
        <v>14360273</v>
      </c>
      <c r="C47" s="62">
        <v>12509131</v>
      </c>
      <c r="D47" s="62">
        <v>10656873</v>
      </c>
      <c r="E47" s="62">
        <v>9078884</v>
      </c>
      <c r="F47" s="62">
        <v>7540904</v>
      </c>
      <c r="G47" s="62">
        <v>6085972</v>
      </c>
      <c r="H47" s="62">
        <v>4755160</v>
      </c>
      <c r="I47" s="62">
        <v>3582970</v>
      </c>
      <c r="J47" s="62">
        <v>2592992</v>
      </c>
      <c r="K47" s="62">
        <v>1709552</v>
      </c>
      <c r="L47" s="62">
        <v>904833</v>
      </c>
      <c r="M47" s="62">
        <v>411660</v>
      </c>
      <c r="N47" s="62">
        <v>158634</v>
      </c>
      <c r="O47" s="62">
        <v>56042</v>
      </c>
      <c r="P47" s="62">
        <v>15167</v>
      </c>
      <c r="Q47" s="62">
        <v>4105</v>
      </c>
      <c r="R47" s="62">
        <v>934</v>
      </c>
      <c r="S47" s="62">
        <v>190</v>
      </c>
    </row>
    <row r="48" spans="1:40" ht="15" thickBot="1"/>
    <row r="49" spans="1:20">
      <c r="A49" s="1" t="s">
        <v>115</v>
      </c>
      <c r="B49" s="63" t="s">
        <v>93</v>
      </c>
      <c r="C49" s="63" t="s">
        <v>94</v>
      </c>
      <c r="D49" s="63" t="s">
        <v>95</v>
      </c>
      <c r="E49" s="63" t="s">
        <v>96</v>
      </c>
      <c r="F49" s="63" t="s">
        <v>97</v>
      </c>
      <c r="G49" s="63" t="s">
        <v>98</v>
      </c>
      <c r="H49" s="63" t="s">
        <v>99</v>
      </c>
      <c r="I49" s="63" t="s">
        <v>100</v>
      </c>
      <c r="J49" s="63" t="s">
        <v>101</v>
      </c>
      <c r="K49" s="63" t="s">
        <v>102</v>
      </c>
      <c r="L49" s="63" t="s">
        <v>103</v>
      </c>
      <c r="M49" s="63" t="s">
        <v>104</v>
      </c>
      <c r="N49" s="63" t="s">
        <v>105</v>
      </c>
      <c r="O49" s="63" t="s">
        <v>106</v>
      </c>
      <c r="P49" s="63" t="s">
        <v>107</v>
      </c>
      <c r="Q49" s="63" t="s">
        <v>108</v>
      </c>
      <c r="R49" s="63" t="s">
        <v>109</v>
      </c>
    </row>
    <row r="50" spans="1:20">
      <c r="A50" s="22" t="s">
        <v>110</v>
      </c>
      <c r="B50" s="62">
        <v>2904350</v>
      </c>
      <c r="C50" s="62">
        <v>2474296</v>
      </c>
      <c r="D50" s="62">
        <v>2107921</v>
      </c>
      <c r="E50" s="62">
        <v>1750835</v>
      </c>
      <c r="F50" s="62">
        <v>1413031</v>
      </c>
      <c r="G50" s="62">
        <v>1104045</v>
      </c>
      <c r="H50" s="62">
        <v>831888</v>
      </c>
      <c r="I50" s="62">
        <v>602037</v>
      </c>
      <c r="J50" s="62">
        <v>396921</v>
      </c>
      <c r="K50" s="62">
        <v>210083</v>
      </c>
      <c r="L50" s="62">
        <v>95578</v>
      </c>
      <c r="M50" s="62">
        <v>36831</v>
      </c>
      <c r="N50" s="62">
        <v>13012</v>
      </c>
      <c r="O50" s="62">
        <v>3521</v>
      </c>
      <c r="P50" s="62">
        <v>953</v>
      </c>
      <c r="Q50" s="62">
        <v>217</v>
      </c>
      <c r="R50" s="62">
        <v>44</v>
      </c>
    </row>
    <row r="51" spans="1:20" ht="15" thickBot="1">
      <c r="A51" s="19" t="s">
        <v>111</v>
      </c>
      <c r="B51" s="62">
        <v>2501826</v>
      </c>
      <c r="C51" s="62">
        <v>2131375</v>
      </c>
      <c r="D51" s="62">
        <v>1815777</v>
      </c>
      <c r="E51" s="62">
        <v>1508181</v>
      </c>
      <c r="F51" s="62">
        <v>1217194</v>
      </c>
      <c r="G51" s="62">
        <v>951032</v>
      </c>
      <c r="H51" s="62">
        <v>716594</v>
      </c>
      <c r="I51" s="62">
        <v>518598</v>
      </c>
      <c r="J51" s="62">
        <v>341910</v>
      </c>
      <c r="K51" s="62">
        <v>180967</v>
      </c>
      <c r="L51" s="62">
        <v>82332</v>
      </c>
      <c r="M51" s="62">
        <v>31727</v>
      </c>
      <c r="N51" s="62">
        <v>11208</v>
      </c>
      <c r="O51" s="62">
        <v>3033</v>
      </c>
      <c r="P51" s="62">
        <v>821</v>
      </c>
      <c r="Q51" s="62">
        <v>187</v>
      </c>
      <c r="R51" s="62">
        <v>38</v>
      </c>
    </row>
    <row r="52" spans="1:20">
      <c r="B52">
        <f>(SUM(B42:T42)+SUM(B43:T43)+SUM(B46:S46)+SUM(B47:S47)+SUM(B50:R50)+SUM(B51:R51))/SUM(Population!B2:V3)</f>
        <v>0.27002392786438995</v>
      </c>
    </row>
    <row r="53" spans="1:20">
      <c r="B53">
        <f>0.37</f>
        <v>0.37</v>
      </c>
      <c r="C53" s="65">
        <f>B53/B52</f>
        <v>1.3702489365528359</v>
      </c>
    </row>
    <row r="55" spans="1:20" ht="18.600000000000001" thickBot="1">
      <c r="A55" s="41" t="s">
        <v>217</v>
      </c>
      <c r="B55" s="41"/>
    </row>
    <row r="56" spans="1:20">
      <c r="A56" s="1" t="s">
        <v>112</v>
      </c>
      <c r="B56" s="2" t="s">
        <v>91</v>
      </c>
      <c r="C56" s="2" t="s">
        <v>92</v>
      </c>
      <c r="D56" s="2" t="s">
        <v>93</v>
      </c>
      <c r="E56" s="2" t="s">
        <v>94</v>
      </c>
      <c r="F56" s="2" t="s">
        <v>95</v>
      </c>
      <c r="G56" s="2" t="s">
        <v>96</v>
      </c>
      <c r="H56" s="2" t="s">
        <v>97</v>
      </c>
      <c r="I56" s="2" t="s">
        <v>98</v>
      </c>
      <c r="J56" s="2" t="s">
        <v>99</v>
      </c>
      <c r="K56" s="2" t="s">
        <v>100</v>
      </c>
      <c r="L56" s="2" t="s">
        <v>101</v>
      </c>
      <c r="M56" s="2" t="s">
        <v>102</v>
      </c>
      <c r="N56" s="2" t="s">
        <v>103</v>
      </c>
      <c r="O56" s="2" t="s">
        <v>104</v>
      </c>
      <c r="P56" s="2" t="s">
        <v>105</v>
      </c>
      <c r="Q56" s="2" t="s">
        <v>106</v>
      </c>
      <c r="R56" s="2" t="s">
        <v>107</v>
      </c>
      <c r="S56" s="2" t="s">
        <v>108</v>
      </c>
      <c r="T56" s="3" t="s">
        <v>109</v>
      </c>
    </row>
    <row r="57" spans="1:20">
      <c r="A57" s="22" t="s">
        <v>110</v>
      </c>
      <c r="B57" s="61">
        <v>49355152</v>
      </c>
      <c r="C57">
        <v>82812124.739999995</v>
      </c>
      <c r="D57">
        <v>64319687.939999998</v>
      </c>
      <c r="E57">
        <v>46559277.549999997</v>
      </c>
      <c r="F57">
        <v>45402781.789999999</v>
      </c>
      <c r="G57">
        <v>49152480</v>
      </c>
      <c r="H57">
        <v>51934406.390000001</v>
      </c>
      <c r="I57">
        <v>51942164.939999998</v>
      </c>
      <c r="J57">
        <v>47251065.810000002</v>
      </c>
      <c r="K57">
        <v>41797560.799999997</v>
      </c>
      <c r="L57">
        <v>40746003.5</v>
      </c>
      <c r="M57">
        <v>32886864.890000001</v>
      </c>
      <c r="N57">
        <v>23701344.57</v>
      </c>
      <c r="O57">
        <v>17293197.420000002</v>
      </c>
      <c r="P57">
        <v>10837710.210000001</v>
      </c>
      <c r="Q57">
        <v>5034582.5769999996</v>
      </c>
      <c r="R57">
        <v>1662275.5049999999</v>
      </c>
      <c r="S57">
        <v>337671.02559999999</v>
      </c>
      <c r="T57">
        <v>49439.903539999999</v>
      </c>
    </row>
    <row r="58" spans="1:20" ht="15" thickBot="1">
      <c r="A58" s="19" t="s">
        <v>111</v>
      </c>
      <c r="B58" s="60">
        <v>51167344</v>
      </c>
      <c r="C58">
        <v>72277631.680000007</v>
      </c>
      <c r="D58">
        <v>57012916.32</v>
      </c>
      <c r="E58">
        <v>42545030.07</v>
      </c>
      <c r="F58">
        <v>43063557.68</v>
      </c>
      <c r="G58">
        <v>47407629.899999999</v>
      </c>
      <c r="H58">
        <v>53401645.780000001</v>
      </c>
      <c r="I58">
        <v>55967067.32</v>
      </c>
      <c r="J58">
        <v>51460806.960000001</v>
      </c>
      <c r="K58">
        <v>46097137.969999999</v>
      </c>
      <c r="L58">
        <v>44015444.090000004</v>
      </c>
      <c r="M58">
        <v>35336631.649999999</v>
      </c>
      <c r="N58">
        <v>25443766.350000001</v>
      </c>
      <c r="O58">
        <v>19300318.600000001</v>
      </c>
      <c r="P58">
        <v>13415553.99</v>
      </c>
      <c r="Q58">
        <v>7549704.091</v>
      </c>
      <c r="R58">
        <v>3422013.9440000001</v>
      </c>
      <c r="S58">
        <v>945134.58140000002</v>
      </c>
      <c r="T58">
        <v>205910.63190000001</v>
      </c>
    </row>
    <row r="59" spans="1:20" ht="15" thickBot="1"/>
    <row r="60" spans="1:20">
      <c r="A60" s="1" t="s">
        <v>114</v>
      </c>
      <c r="B60" s="2" t="s">
        <v>92</v>
      </c>
      <c r="C60" s="2" t="s">
        <v>93</v>
      </c>
      <c r="D60" s="2" t="s">
        <v>94</v>
      </c>
      <c r="E60" s="2" t="s">
        <v>95</v>
      </c>
      <c r="F60" s="2" t="s">
        <v>96</v>
      </c>
      <c r="G60" s="2" t="s">
        <v>97</v>
      </c>
      <c r="H60" s="2" t="s">
        <v>98</v>
      </c>
      <c r="I60" s="2" t="s">
        <v>99</v>
      </c>
      <c r="J60" s="2" t="s">
        <v>100</v>
      </c>
      <c r="K60" s="2" t="s">
        <v>101</v>
      </c>
      <c r="L60" s="2" t="s">
        <v>102</v>
      </c>
      <c r="M60" s="2" t="s">
        <v>103</v>
      </c>
      <c r="N60" s="2" t="s">
        <v>104</v>
      </c>
      <c r="O60" s="2" t="s">
        <v>105</v>
      </c>
      <c r="P60" s="2" t="s">
        <v>106</v>
      </c>
      <c r="Q60" s="2" t="s">
        <v>107</v>
      </c>
      <c r="R60" s="2" t="s">
        <v>108</v>
      </c>
      <c r="S60" s="3" t="s">
        <v>109</v>
      </c>
    </row>
    <row r="61" spans="1:20">
      <c r="A61" s="22" t="s">
        <v>110</v>
      </c>
      <c r="B61">
        <v>211408567.90000001</v>
      </c>
      <c r="C61">
        <v>168006715.40000001</v>
      </c>
      <c r="D61">
        <v>172143198.90000001</v>
      </c>
      <c r="E61">
        <v>148427252.40000001</v>
      </c>
      <c r="F61">
        <v>134520220.90000001</v>
      </c>
      <c r="G61">
        <v>127378924.40000001</v>
      </c>
      <c r="H61">
        <v>117007960.8</v>
      </c>
      <c r="I61">
        <v>99189737.959999993</v>
      </c>
      <c r="J61">
        <v>82347866.730000004</v>
      </c>
      <c r="K61">
        <v>64210164.670000002</v>
      </c>
      <c r="L61">
        <v>42807309.969999999</v>
      </c>
      <c r="M61">
        <v>26964778.16</v>
      </c>
      <c r="N61">
        <v>17120468.690000001</v>
      </c>
      <c r="O61">
        <v>9144993.6400000006</v>
      </c>
      <c r="P61">
        <v>4166402.9559999998</v>
      </c>
      <c r="Q61">
        <v>1355174.7560000001</v>
      </c>
      <c r="R61">
        <v>258841.8462</v>
      </c>
      <c r="S61">
        <v>32184.73475</v>
      </c>
    </row>
    <row r="62" spans="1:20" ht="15" thickBot="1">
      <c r="A62" s="19" t="s">
        <v>111</v>
      </c>
      <c r="B62">
        <v>197152024.90000001</v>
      </c>
      <c r="C62">
        <v>153354004.80000001</v>
      </c>
      <c r="D62">
        <v>156447528.40000001</v>
      </c>
      <c r="E62">
        <v>133737322.8</v>
      </c>
      <c r="F62">
        <v>116763205.3</v>
      </c>
      <c r="G62">
        <v>107020461.3</v>
      </c>
      <c r="H62">
        <v>95875565.969999999</v>
      </c>
      <c r="I62">
        <v>82228869.319999993</v>
      </c>
      <c r="J62">
        <v>67232095.969999999</v>
      </c>
      <c r="K62">
        <v>52221249.469999999</v>
      </c>
      <c r="L62">
        <v>37871447.75</v>
      </c>
      <c r="M62">
        <v>25894933.390000001</v>
      </c>
      <c r="N62">
        <v>19196795.129999999</v>
      </c>
      <c r="O62">
        <v>12183859.939999999</v>
      </c>
      <c r="P62">
        <v>7577334.8689999999</v>
      </c>
      <c r="Q62">
        <v>3379058.591</v>
      </c>
      <c r="R62">
        <v>848607.3811</v>
      </c>
      <c r="S62">
        <v>147647.965</v>
      </c>
    </row>
    <row r="63" spans="1:20" ht="15" thickBot="1"/>
    <row r="64" spans="1:20">
      <c r="A64" s="1" t="s">
        <v>115</v>
      </c>
      <c r="B64" s="2" t="s">
        <v>93</v>
      </c>
      <c r="C64" s="2" t="s">
        <v>94</v>
      </c>
      <c r="D64" s="2" t="s">
        <v>95</v>
      </c>
      <c r="E64" s="2" t="s">
        <v>96</v>
      </c>
      <c r="F64" s="2" t="s">
        <v>97</v>
      </c>
      <c r="G64" s="2" t="s">
        <v>98</v>
      </c>
      <c r="H64" s="2" t="s">
        <v>99</v>
      </c>
      <c r="I64" s="2" t="s">
        <v>100</v>
      </c>
      <c r="J64" s="2" t="s">
        <v>101</v>
      </c>
      <c r="K64" s="2" t="s">
        <v>102</v>
      </c>
      <c r="L64" s="2" t="s">
        <v>103</v>
      </c>
      <c r="M64" s="2" t="s">
        <v>104</v>
      </c>
      <c r="N64" s="2" t="s">
        <v>105</v>
      </c>
      <c r="O64" s="2" t="s">
        <v>106</v>
      </c>
      <c r="P64" s="2" t="s">
        <v>107</v>
      </c>
      <c r="Q64" s="2" t="s">
        <v>108</v>
      </c>
      <c r="R64" s="3" t="s">
        <v>109</v>
      </c>
    </row>
    <row r="65" spans="1:20">
      <c r="A65" s="22" t="s">
        <v>110</v>
      </c>
      <c r="B65">
        <v>61650378.210000001</v>
      </c>
      <c r="C65">
        <v>71859910.390000001</v>
      </c>
      <c r="D65">
        <v>72007030.519999996</v>
      </c>
      <c r="E65">
        <v>48417760.539999999</v>
      </c>
      <c r="F65">
        <v>39745254.25</v>
      </c>
      <c r="G65">
        <v>34671886.340000004</v>
      </c>
      <c r="H65">
        <v>30032872.379999999</v>
      </c>
      <c r="I65">
        <v>25138419.93</v>
      </c>
      <c r="J65">
        <v>20557451.239999998</v>
      </c>
      <c r="K65">
        <v>15609755.66</v>
      </c>
      <c r="L65">
        <v>10121010.84</v>
      </c>
      <c r="M65">
        <v>6223013.9560000002</v>
      </c>
      <c r="N65">
        <v>3409772.014</v>
      </c>
      <c r="O65">
        <v>1637168.1910000001</v>
      </c>
      <c r="P65">
        <v>545386.60759999999</v>
      </c>
      <c r="Q65">
        <v>101002.4127</v>
      </c>
      <c r="R65">
        <v>11521.985650000001</v>
      </c>
    </row>
    <row r="66" spans="1:20" ht="15" thickBot="1">
      <c r="A66" s="19" t="s">
        <v>111</v>
      </c>
      <c r="B66">
        <v>59221519.460000001</v>
      </c>
      <c r="C66">
        <v>69137493.769999996</v>
      </c>
      <c r="D66">
        <v>69016148.189999998</v>
      </c>
      <c r="E66">
        <v>47201151.240000002</v>
      </c>
      <c r="F66">
        <v>37179726.909999996</v>
      </c>
      <c r="G66">
        <v>30273604.030000001</v>
      </c>
      <c r="H66">
        <v>25536678.91</v>
      </c>
      <c r="I66">
        <v>21072471.579999998</v>
      </c>
      <c r="J66">
        <v>16728374.4</v>
      </c>
      <c r="K66">
        <v>12148080.07</v>
      </c>
      <c r="L66">
        <v>7609104.7960000001</v>
      </c>
      <c r="M66">
        <v>4754210.6100000003</v>
      </c>
      <c r="N66">
        <v>2706659.415</v>
      </c>
      <c r="O66">
        <v>1570276.8030000001</v>
      </c>
      <c r="P66">
        <v>644653.78399999999</v>
      </c>
      <c r="Q66">
        <v>155205.17000000001</v>
      </c>
      <c r="R66">
        <v>22798.98849</v>
      </c>
    </row>
    <row r="70" spans="1:20" ht="18.600000000000001" thickBot="1">
      <c r="A70" s="41" t="s">
        <v>319</v>
      </c>
      <c r="B70" s="41"/>
    </row>
    <row r="71" spans="1:20">
      <c r="A71" s="1" t="s">
        <v>112</v>
      </c>
      <c r="B71" s="2" t="s">
        <v>91</v>
      </c>
      <c r="C71" s="2" t="s">
        <v>92</v>
      </c>
      <c r="D71" s="2" t="s">
        <v>93</v>
      </c>
      <c r="E71" s="2" t="s">
        <v>94</v>
      </c>
      <c r="F71" s="2" t="s">
        <v>95</v>
      </c>
      <c r="G71" s="2" t="s">
        <v>96</v>
      </c>
      <c r="H71" s="2" t="s">
        <v>97</v>
      </c>
      <c r="I71" s="2" t="s">
        <v>98</v>
      </c>
      <c r="J71" s="2" t="s">
        <v>99</v>
      </c>
      <c r="K71" s="2" t="s">
        <v>100</v>
      </c>
      <c r="L71" s="2" t="s">
        <v>101</v>
      </c>
      <c r="M71" s="2" t="s">
        <v>102</v>
      </c>
      <c r="N71" s="2" t="s">
        <v>103</v>
      </c>
      <c r="O71" s="2" t="s">
        <v>104</v>
      </c>
      <c r="P71" s="2" t="s">
        <v>105</v>
      </c>
      <c r="Q71" s="2" t="s">
        <v>106</v>
      </c>
      <c r="R71" s="2" t="s">
        <v>107</v>
      </c>
      <c r="S71" s="2" t="s">
        <v>108</v>
      </c>
      <c r="T71" s="3" t="s">
        <v>109</v>
      </c>
    </row>
    <row r="72" spans="1:20">
      <c r="A72" s="22" t="s">
        <v>110</v>
      </c>
      <c r="B72" s="12">
        <v>49355152</v>
      </c>
      <c r="C72" s="44">
        <v>46180036</v>
      </c>
      <c r="D72" s="44">
        <v>42691364</v>
      </c>
      <c r="E72" s="44">
        <v>39120184</v>
      </c>
      <c r="F72" s="44">
        <v>35743564</v>
      </c>
      <c r="G72" s="44">
        <v>32770040</v>
      </c>
      <c r="H72" s="44">
        <v>30282794</v>
      </c>
      <c r="I72" s="44">
        <v>27361884</v>
      </c>
      <c r="J72" s="44">
        <v>24925750</v>
      </c>
      <c r="K72" s="44">
        <v>22851078</v>
      </c>
      <c r="L72" s="44">
        <v>21031620</v>
      </c>
      <c r="M72" s="44">
        <v>16176106</v>
      </c>
      <c r="N72" s="44">
        <v>12184178</v>
      </c>
      <c r="O72" s="44">
        <v>8977545</v>
      </c>
      <c r="P72" s="44">
        <v>6465187.5</v>
      </c>
      <c r="Q72" s="44">
        <v>4547908</v>
      </c>
      <c r="R72" s="44">
        <v>3124102.25</v>
      </c>
      <c r="S72" s="44">
        <v>2095692.5</v>
      </c>
      <c r="T72" s="45">
        <v>3850857</v>
      </c>
    </row>
    <row r="73" spans="1:20" ht="15" thickBot="1">
      <c r="A73" s="19" t="s">
        <v>111</v>
      </c>
      <c r="B73" s="46">
        <v>51167344</v>
      </c>
      <c r="C73" s="46">
        <v>47529548</v>
      </c>
      <c r="D73" s="46">
        <v>43391720</v>
      </c>
      <c r="E73" s="46">
        <v>39068428</v>
      </c>
      <c r="F73" s="46">
        <v>34954892</v>
      </c>
      <c r="G73" s="46">
        <v>31344856</v>
      </c>
      <c r="H73" s="46">
        <v>28342408</v>
      </c>
      <c r="I73" s="46">
        <v>25086662</v>
      </c>
      <c r="J73" s="46">
        <v>22371872</v>
      </c>
      <c r="K73" s="46">
        <v>20029026</v>
      </c>
      <c r="L73" s="46">
        <v>17933762</v>
      </c>
      <c r="M73" s="46">
        <v>13439859</v>
      </c>
      <c r="N73" s="46">
        <v>9843769</v>
      </c>
      <c r="O73" s="46">
        <v>7045061</v>
      </c>
      <c r="P73" s="46">
        <v>4928278</v>
      </c>
      <c r="Q73" s="46">
        <v>3371815.75</v>
      </c>
      <c r="R73" s="46">
        <v>2258046.5</v>
      </c>
      <c r="S73" s="46">
        <v>1481360.875</v>
      </c>
      <c r="T73" s="47">
        <v>2626778.25</v>
      </c>
    </row>
    <row r="74" spans="1:20" ht="15" thickBot="1"/>
    <row r="75" spans="1:20">
      <c r="A75" s="1" t="s">
        <v>114</v>
      </c>
      <c r="B75" s="2" t="s">
        <v>92</v>
      </c>
      <c r="C75" s="2" t="s">
        <v>93</v>
      </c>
      <c r="D75" s="2" t="s">
        <v>94</v>
      </c>
      <c r="E75" s="2" t="s">
        <v>95</v>
      </c>
      <c r="F75" s="2" t="s">
        <v>96</v>
      </c>
      <c r="G75" s="2" t="s">
        <v>97</v>
      </c>
      <c r="H75" s="2" t="s">
        <v>98</v>
      </c>
      <c r="I75" s="2" t="s">
        <v>99</v>
      </c>
      <c r="J75" s="2" t="s">
        <v>100</v>
      </c>
      <c r="K75" s="2" t="s">
        <v>101</v>
      </c>
      <c r="L75" s="2" t="s">
        <v>102</v>
      </c>
      <c r="M75" s="2" t="s">
        <v>103</v>
      </c>
      <c r="N75" s="2" t="s">
        <v>104</v>
      </c>
      <c r="O75" s="2" t="s">
        <v>105</v>
      </c>
      <c r="P75" s="2" t="s">
        <v>106</v>
      </c>
      <c r="Q75" s="2" t="s">
        <v>107</v>
      </c>
      <c r="R75" s="2" t="s">
        <v>108</v>
      </c>
      <c r="S75" s="3" t="s">
        <v>109</v>
      </c>
    </row>
    <row r="76" spans="1:20">
      <c r="A76" s="22" t="s">
        <v>110</v>
      </c>
      <c r="B76" s="12">
        <v>155434912</v>
      </c>
      <c r="C76" s="44">
        <v>142872688</v>
      </c>
      <c r="D76" s="44">
        <v>129689344</v>
      </c>
      <c r="E76" s="44">
        <v>116408952</v>
      </c>
      <c r="F76" s="44">
        <v>103414288</v>
      </c>
      <c r="G76" s="44">
        <v>90971616</v>
      </c>
      <c r="H76" s="44">
        <v>76969688</v>
      </c>
      <c r="I76" s="44">
        <v>64553016</v>
      </c>
      <c r="J76" s="44">
        <v>53694360</v>
      </c>
      <c r="K76" s="44">
        <v>44327076</v>
      </c>
      <c r="L76" s="44">
        <v>30926292</v>
      </c>
      <c r="M76" s="44">
        <v>21096796</v>
      </c>
      <c r="N76" s="44">
        <v>14089957</v>
      </c>
      <c r="O76" s="44">
        <v>9226415</v>
      </c>
      <c r="P76" s="44">
        <v>5932589.5</v>
      </c>
      <c r="Q76" s="44">
        <v>3751444.25</v>
      </c>
      <c r="R76" s="44">
        <v>2336159</v>
      </c>
      <c r="S76" s="45">
        <v>3745399.75</v>
      </c>
    </row>
    <row r="77" spans="1:20" ht="15" thickBot="1">
      <c r="A77" s="19" t="s">
        <v>111</v>
      </c>
      <c r="B77" s="46">
        <v>152753632</v>
      </c>
      <c r="C77" s="46">
        <v>137745872</v>
      </c>
      <c r="D77" s="46">
        <v>121917656</v>
      </c>
      <c r="E77" s="46">
        <v>106107784</v>
      </c>
      <c r="F77" s="46">
        <v>90921536</v>
      </c>
      <c r="G77" s="46">
        <v>76766208</v>
      </c>
      <c r="H77" s="46">
        <v>62156256</v>
      </c>
      <c r="I77" s="46">
        <v>49744636</v>
      </c>
      <c r="J77" s="46">
        <v>39463400</v>
      </c>
      <c r="K77" s="46">
        <v>31162654</v>
      </c>
      <c r="L77" s="46">
        <v>21032764</v>
      </c>
      <c r="M77" s="46">
        <v>13988510</v>
      </c>
      <c r="N77" s="46">
        <v>9196732</v>
      </c>
      <c r="O77" s="46">
        <v>5991231.5</v>
      </c>
      <c r="P77" s="46">
        <v>3872578</v>
      </c>
      <c r="Q77" s="46">
        <v>2484219.25</v>
      </c>
      <c r="R77" s="46">
        <v>1580460.875</v>
      </c>
      <c r="S77" s="47">
        <v>2715952</v>
      </c>
    </row>
    <row r="78" spans="1:20" ht="15" thickBot="1"/>
    <row r="79" spans="1:20">
      <c r="A79" s="1" t="s">
        <v>115</v>
      </c>
      <c r="B79" s="2" t="s">
        <v>93</v>
      </c>
      <c r="C79" s="2" t="s">
        <v>94</v>
      </c>
      <c r="D79" s="2" t="s">
        <v>95</v>
      </c>
      <c r="E79" s="2" t="s">
        <v>96</v>
      </c>
      <c r="F79" s="2" t="s">
        <v>97</v>
      </c>
      <c r="G79" s="2" t="s">
        <v>98</v>
      </c>
      <c r="H79" s="2" t="s">
        <v>99</v>
      </c>
      <c r="I79" s="2" t="s">
        <v>100</v>
      </c>
      <c r="J79" s="2" t="s">
        <v>101</v>
      </c>
      <c r="K79" s="2" t="s">
        <v>102</v>
      </c>
      <c r="L79" s="2" t="s">
        <v>103</v>
      </c>
      <c r="M79" s="2" t="s">
        <v>104</v>
      </c>
      <c r="N79" s="2" t="s">
        <v>105</v>
      </c>
      <c r="O79" s="2" t="s">
        <v>106</v>
      </c>
      <c r="P79" s="2" t="s">
        <v>107</v>
      </c>
      <c r="Q79" s="2" t="s">
        <v>108</v>
      </c>
      <c r="R79" s="3" t="s">
        <v>109</v>
      </c>
    </row>
    <row r="80" spans="1:20">
      <c r="A80" s="22" t="s">
        <v>110</v>
      </c>
      <c r="B80" s="12">
        <v>43999684</v>
      </c>
      <c r="C80" s="44">
        <v>38616008</v>
      </c>
      <c r="D80" s="44">
        <v>33541514</v>
      </c>
      <c r="E80" s="44">
        <v>28847256</v>
      </c>
      <c r="F80" s="44">
        <v>24575024</v>
      </c>
      <c r="G80" s="44">
        <v>20161422</v>
      </c>
      <c r="H80" s="44">
        <v>16402935</v>
      </c>
      <c r="I80" s="44">
        <v>13242981</v>
      </c>
      <c r="J80" s="44">
        <v>10619861</v>
      </c>
      <c r="K80" s="44">
        <v>7233930.5</v>
      </c>
      <c r="L80" s="44">
        <v>4824749.5</v>
      </c>
      <c r="M80" s="44">
        <v>3155658.5</v>
      </c>
      <c r="N80" s="44">
        <v>2027372.875</v>
      </c>
      <c r="O80" s="44">
        <v>1281526</v>
      </c>
      <c r="P80" s="44">
        <v>798275.375</v>
      </c>
      <c r="Q80" s="44">
        <v>490682.3125</v>
      </c>
      <c r="R80" s="45">
        <v>768252.25</v>
      </c>
    </row>
    <row r="81" spans="1:20" ht="15" thickBot="1">
      <c r="A81" s="19" t="s">
        <v>111</v>
      </c>
      <c r="B81" s="46">
        <v>38608568</v>
      </c>
      <c r="C81" s="46">
        <v>32963842</v>
      </c>
      <c r="D81" s="46">
        <v>27715490</v>
      </c>
      <c r="E81" s="46">
        <v>22964636</v>
      </c>
      <c r="F81" s="46">
        <v>18768788</v>
      </c>
      <c r="G81" s="46">
        <v>14747308</v>
      </c>
      <c r="H81" s="46">
        <v>11482517</v>
      </c>
      <c r="I81" s="46">
        <v>8893680</v>
      </c>
      <c r="J81" s="46">
        <v>6886528</v>
      </c>
      <c r="K81" s="46">
        <v>4586425</v>
      </c>
      <c r="L81" s="46">
        <v>3020523</v>
      </c>
      <c r="M81" s="46">
        <v>1972035.5</v>
      </c>
      <c r="N81" s="46">
        <v>1278216.125</v>
      </c>
      <c r="O81" s="46">
        <v>822805.25</v>
      </c>
      <c r="P81" s="46">
        <v>525681.25</v>
      </c>
      <c r="Q81" s="46">
        <v>332911.90625</v>
      </c>
      <c r="R81" s="47">
        <v>562849.1875</v>
      </c>
    </row>
    <row r="84" spans="1:20">
      <c r="B84">
        <f>B42/Population!D2</f>
        <v>0.24050117528104206</v>
      </c>
      <c r="C84">
        <f>C42/Population!E2</f>
        <v>0.24050118300015738</v>
      </c>
      <c r="D84">
        <f>D42/Population!F2</f>
        <v>0.24050117091012596</v>
      </c>
      <c r="E84">
        <f>E42/Population!G2</f>
        <v>0.24050116807927885</v>
      </c>
      <c r="F84">
        <f>F42/Population!H2</f>
        <v>0.24050116826540682</v>
      </c>
      <c r="G84">
        <f>G42/Population!I2</f>
        <v>0.2405011746477643</v>
      </c>
      <c r="H84">
        <f>H42/Population!J2</f>
        <v>0.24050119010812374</v>
      </c>
      <c r="I84">
        <f>I42/Population!K2</f>
        <v>0.2405011754959954</v>
      </c>
      <c r="J84">
        <f>J42/Population!L2</f>
        <v>0.24050121475451708</v>
      </c>
      <c r="K84">
        <f>K42/Population!M2</f>
        <v>0.2405011738077403</v>
      </c>
      <c r="L84">
        <f>L42/Population!N2</f>
        <v>0.24050116698235888</v>
      </c>
      <c r="M84">
        <f>M42/Population!O2</f>
        <v>0.24050115846525372</v>
      </c>
      <c r="N84">
        <f>N42/Population!P2</f>
        <v>0.24050103331390349</v>
      </c>
      <c r="O84">
        <f>O42/Population!Q2</f>
        <v>0.2405008544601043</v>
      </c>
      <c r="P84">
        <f>P42/Population!R2</f>
        <v>0.24049961389476593</v>
      </c>
      <c r="Q84">
        <f>Q42/Population!S2</f>
        <v>0.24050339268108797</v>
      </c>
      <c r="R84">
        <f>R42/Population!T2</f>
        <v>0.24051772168173832</v>
      </c>
      <c r="S84">
        <f>S42/Population!U2</f>
        <v>0.24043715846994534</v>
      </c>
      <c r="T84">
        <f>T42/Population!V2</f>
        <v>0.24096385542168675</v>
      </c>
    </row>
    <row r="85" spans="1:20">
      <c r="B85">
        <f>B43/Population!D3</f>
        <v>0.16755503271466271</v>
      </c>
      <c r="C85">
        <f>C43/Population!E3</f>
        <v>0.16755502946573095</v>
      </c>
      <c r="D85">
        <f>D43/Population!F3</f>
        <v>0.16755503555447071</v>
      </c>
      <c r="E85">
        <f>E43/Population!G3</f>
        <v>0.16755503099153349</v>
      </c>
      <c r="F85">
        <f>F43/Population!H3</f>
        <v>0.16755503186235618</v>
      </c>
      <c r="G85">
        <f>G43/Population!I3</f>
        <v>0.167555044655534</v>
      </c>
      <c r="H85">
        <f>H43/Population!J3</f>
        <v>0.16755503938456603</v>
      </c>
      <c r="I85">
        <f>I43/Population!K3</f>
        <v>0.16755503153298817</v>
      </c>
      <c r="J85">
        <f>J43/Population!L3</f>
        <v>0.16755503574770975</v>
      </c>
      <c r="K85">
        <f>K43/Population!M3</f>
        <v>0.16755500983018984</v>
      </c>
      <c r="L85">
        <f>L43/Population!N3</f>
        <v>0.16755499298760929</v>
      </c>
      <c r="M85">
        <f>M43/Population!O3</f>
        <v>0.16755500493455741</v>
      </c>
      <c r="N85">
        <f>N43/Population!P3</f>
        <v>0.16755492881805834</v>
      </c>
      <c r="O85">
        <f>O43/Population!Q3</f>
        <v>0.1675547986595616</v>
      </c>
      <c r="P85">
        <f>P43/Population!R3</f>
        <v>0.16755631438309648</v>
      </c>
      <c r="Q85">
        <f>Q43/Population!S3</f>
        <v>0.16755590473621876</v>
      </c>
      <c r="R85">
        <f>R43/Population!T3</f>
        <v>0.16754766031195842</v>
      </c>
      <c r="S85">
        <f>S43/Population!U3</f>
        <v>0.16765098113926463</v>
      </c>
      <c r="T85">
        <f>T43/Population!V3</f>
        <v>0.16760299625468164</v>
      </c>
    </row>
    <row r="87" spans="1:20" ht="18.600000000000001" thickBot="1">
      <c r="A87" s="41" t="s">
        <v>364</v>
      </c>
      <c r="B87" s="41"/>
    </row>
    <row r="88" spans="1:20">
      <c r="A88" s="1" t="s">
        <v>112</v>
      </c>
      <c r="B88" s="2" t="s">
        <v>91</v>
      </c>
      <c r="C88" s="2" t="s">
        <v>92</v>
      </c>
      <c r="D88" s="2" t="s">
        <v>93</v>
      </c>
      <c r="E88" s="2" t="s">
        <v>94</v>
      </c>
      <c r="F88" s="2" t="s">
        <v>95</v>
      </c>
      <c r="G88" s="2" t="s">
        <v>96</v>
      </c>
      <c r="H88" s="2" t="s">
        <v>97</v>
      </c>
      <c r="I88" s="2" t="s">
        <v>98</v>
      </c>
      <c r="J88" s="2" t="s">
        <v>99</v>
      </c>
      <c r="K88" s="2" t="s">
        <v>100</v>
      </c>
      <c r="L88" s="2" t="s">
        <v>101</v>
      </c>
      <c r="M88" s="2" t="s">
        <v>102</v>
      </c>
      <c r="N88" s="2" t="s">
        <v>103</v>
      </c>
      <c r="O88" s="2" t="s">
        <v>104</v>
      </c>
      <c r="P88" s="2" t="s">
        <v>105</v>
      </c>
      <c r="Q88" s="2" t="s">
        <v>106</v>
      </c>
      <c r="R88" s="2" t="s">
        <v>107</v>
      </c>
      <c r="S88" s="2" t="s">
        <v>108</v>
      </c>
      <c r="T88" s="3" t="s">
        <v>109</v>
      </c>
    </row>
    <row r="89" spans="1:20">
      <c r="A89" s="22" t="s">
        <v>110</v>
      </c>
      <c r="B89" s="62">
        <f>$C$53*B42</f>
        <v>30287472.760959487</v>
      </c>
      <c r="C89" s="62">
        <f t="shared" ref="C89:T90" si="0">$C$53*C42</f>
        <v>26900795.6348521</v>
      </c>
      <c r="D89" s="62">
        <f t="shared" si="0"/>
        <v>23433087.46763273</v>
      </c>
      <c r="E89" s="62">
        <f t="shared" si="0"/>
        <v>19963292.411282983</v>
      </c>
      <c r="F89" s="62">
        <f t="shared" si="0"/>
        <v>17007279.044938408</v>
      </c>
      <c r="G89" s="62">
        <f t="shared" si="0"/>
        <v>14126212.814427529</v>
      </c>
      <c r="H89" s="62">
        <f t="shared" si="0"/>
        <v>11400719.167177111</v>
      </c>
      <c r="I89" s="62">
        <f t="shared" si="0"/>
        <v>8907737.5809745975</v>
      </c>
      <c r="J89" s="62">
        <f t="shared" si="0"/>
        <v>6711899.9576593116</v>
      </c>
      <c r="K89" s="62">
        <f t="shared" si="0"/>
        <v>4857395.4551861482</v>
      </c>
      <c r="L89" s="62">
        <f t="shared" si="0"/>
        <v>3202466.340072968</v>
      </c>
      <c r="M89" s="62">
        <f t="shared" si="0"/>
        <v>1695003.4155116042</v>
      </c>
      <c r="N89" s="62">
        <f t="shared" si="0"/>
        <v>771152.80726001458</v>
      </c>
      <c r="O89" s="62">
        <f t="shared" si="0"/>
        <v>297164.51662127697</v>
      </c>
      <c r="P89" s="62">
        <f t="shared" si="0"/>
        <v>104981.62227399553</v>
      </c>
      <c r="Q89" s="62">
        <f t="shared" si="0"/>
        <v>28412.111699423051</v>
      </c>
      <c r="R89" s="62">
        <f t="shared" si="0"/>
        <v>7689.8370319345149</v>
      </c>
      <c r="S89" s="62">
        <f t="shared" si="0"/>
        <v>1748.4376430414186</v>
      </c>
      <c r="T89" s="62">
        <f t="shared" si="0"/>
        <v>356.26472350373734</v>
      </c>
    </row>
    <row r="90" spans="1:20" ht="15" thickBot="1">
      <c r="A90" s="19" t="s">
        <v>111</v>
      </c>
      <c r="B90" s="62">
        <f>$C$53*B43</f>
        <v>20871867.484389883</v>
      </c>
      <c r="C90" s="62">
        <f t="shared" si="0"/>
        <v>18538021.12868287</v>
      </c>
      <c r="D90" s="62">
        <f t="shared" si="0"/>
        <v>16148337.128811328</v>
      </c>
      <c r="E90" s="62">
        <f t="shared" si="0"/>
        <v>13757212.99730747</v>
      </c>
      <c r="F90" s="62">
        <f t="shared" si="0"/>
        <v>11720148.858768435</v>
      </c>
      <c r="G90" s="62">
        <f t="shared" si="0"/>
        <v>9734733.5133948848</v>
      </c>
      <c r="H90" s="62">
        <f t="shared" si="0"/>
        <v>7856526.444817231</v>
      </c>
      <c r="I90" s="62">
        <f t="shared" si="0"/>
        <v>6138549.4356353814</v>
      </c>
      <c r="J90" s="62">
        <f t="shared" si="0"/>
        <v>4625341.0572830522</v>
      </c>
      <c r="K90" s="62">
        <f t="shared" si="0"/>
        <v>3347355.0923751281</v>
      </c>
      <c r="L90" s="62">
        <f t="shared" si="0"/>
        <v>2206901.0132290125</v>
      </c>
      <c r="M90" s="62">
        <f t="shared" si="0"/>
        <v>1168070.0762134015</v>
      </c>
      <c r="N90" s="62">
        <f t="shared" si="0"/>
        <v>531420.90456541325</v>
      </c>
      <c r="O90" s="62">
        <f t="shared" si="0"/>
        <v>204783.70356782133</v>
      </c>
      <c r="P90" s="62">
        <f t="shared" si="0"/>
        <v>72346.403352116628</v>
      </c>
      <c r="Q90" s="62">
        <f t="shared" si="0"/>
        <v>19579.487054403471</v>
      </c>
      <c r="R90" s="62">
        <f t="shared" si="0"/>
        <v>5298.7526376498163</v>
      </c>
      <c r="S90" s="62">
        <f t="shared" si="0"/>
        <v>1205.8190641664955</v>
      </c>
      <c r="T90" s="62">
        <f t="shared" si="0"/>
        <v>245.27455964295763</v>
      </c>
    </row>
    <row r="91" spans="1:20" ht="15" thickBot="1"/>
    <row r="92" spans="1:20">
      <c r="A92" s="1" t="s">
        <v>114</v>
      </c>
      <c r="B92" s="63" t="s">
        <v>92</v>
      </c>
      <c r="C92" s="63" t="s">
        <v>93</v>
      </c>
      <c r="D92" s="63" t="s">
        <v>94</v>
      </c>
      <c r="E92" s="63" t="s">
        <v>95</v>
      </c>
      <c r="F92" s="63" t="s">
        <v>96</v>
      </c>
      <c r="G92" s="63" t="s">
        <v>97</v>
      </c>
      <c r="H92" s="63" t="s">
        <v>98</v>
      </c>
      <c r="I92" s="63" t="s">
        <v>99</v>
      </c>
      <c r="J92" s="63" t="s">
        <v>100</v>
      </c>
      <c r="K92" s="63" t="s">
        <v>101</v>
      </c>
      <c r="L92" s="63" t="s">
        <v>102</v>
      </c>
      <c r="M92" s="63" t="s">
        <v>103</v>
      </c>
      <c r="N92" s="63" t="s">
        <v>104</v>
      </c>
      <c r="O92" s="63" t="s">
        <v>105</v>
      </c>
      <c r="P92" s="63" t="s">
        <v>106</v>
      </c>
      <c r="Q92" s="63" t="s">
        <v>107</v>
      </c>
      <c r="R92" s="63" t="s">
        <v>108</v>
      </c>
      <c r="S92" s="63" t="s">
        <v>109</v>
      </c>
    </row>
    <row r="93" spans="1:20">
      <c r="A93" s="22" t="s">
        <v>110</v>
      </c>
      <c r="B93" s="62">
        <f>$C$53*B46</f>
        <v>22843041.832565837</v>
      </c>
      <c r="C93" s="62">
        <f t="shared" ref="C93:S94" si="1">$C$53*C46</f>
        <v>19898407.0133904</v>
      </c>
      <c r="D93" s="62">
        <f t="shared" si="1"/>
        <v>16952000.462339994</v>
      </c>
      <c r="E93" s="62">
        <f t="shared" si="1"/>
        <v>14441875.691692268</v>
      </c>
      <c r="F93" s="62">
        <f t="shared" si="1"/>
        <v>11995393.503151676</v>
      </c>
      <c r="G93" s="62">
        <f t="shared" si="1"/>
        <v>9681017.0145841409</v>
      </c>
      <c r="H93" s="62">
        <f t="shared" si="1"/>
        <v>7564081.0655334415</v>
      </c>
      <c r="I93" s="62">
        <f t="shared" si="1"/>
        <v>5699466.8664063914</v>
      </c>
      <c r="J93" s="62">
        <f t="shared" si="1"/>
        <v>4124698.6843304886</v>
      </c>
      <c r="K93" s="62">
        <f t="shared" si="1"/>
        <v>2719401.5204785042</v>
      </c>
      <c r="L93" s="62">
        <f t="shared" si="1"/>
        <v>1439327.296191274</v>
      </c>
      <c r="M93" s="62">
        <f t="shared" si="1"/>
        <v>654831.00478710781</v>
      </c>
      <c r="N93" s="62">
        <f t="shared" si="1"/>
        <v>252340.93340876058</v>
      </c>
      <c r="O93" s="62">
        <f t="shared" si="1"/>
        <v>89147.025563190953</v>
      </c>
      <c r="P93" s="62">
        <f t="shared" si="1"/>
        <v>24125.973025885782</v>
      </c>
      <c r="Q93" s="62">
        <f t="shared" si="1"/>
        <v>6529.2361826742626</v>
      </c>
      <c r="R93" s="62">
        <f t="shared" si="1"/>
        <v>1485.3498472232741</v>
      </c>
      <c r="S93" s="62">
        <f t="shared" si="1"/>
        <v>301.45476604162388</v>
      </c>
    </row>
    <row r="94" spans="1:20" ht="15" thickBot="1">
      <c r="A94" s="19" t="s">
        <v>111</v>
      </c>
      <c r="B94" s="62">
        <f>$C$53*B47</f>
        <v>19677148.806858402</v>
      </c>
      <c r="C94" s="62">
        <f t="shared" si="1"/>
        <v>17140623.449950114</v>
      </c>
      <c r="D94" s="62">
        <f t="shared" si="1"/>
        <v>14602568.89522863</v>
      </c>
      <c r="E94" s="62">
        <f t="shared" si="1"/>
        <v>12440331.146086557</v>
      </c>
      <c r="F94" s="62">
        <f t="shared" si="1"/>
        <v>10332915.686647026</v>
      </c>
      <c r="G94" s="62">
        <f t="shared" si="1"/>
        <v>8339296.6608903352</v>
      </c>
      <c r="H94" s="62">
        <f t="shared" si="1"/>
        <v>6515752.9331385829</v>
      </c>
      <c r="I94" s="62">
        <f t="shared" si="1"/>
        <v>4909560.8322007144</v>
      </c>
      <c r="J94" s="62">
        <f t="shared" si="1"/>
        <v>3553044.530490011</v>
      </c>
      <c r="K94" s="62">
        <f t="shared" si="1"/>
        <v>2342511.8099817736</v>
      </c>
      <c r="L94" s="62">
        <f t="shared" si="1"/>
        <v>1239846.4560079121</v>
      </c>
      <c r="M94" s="62">
        <f t="shared" si="1"/>
        <v>564076.67722134036</v>
      </c>
      <c r="N94" s="62">
        <f t="shared" si="1"/>
        <v>217368.06980112256</v>
      </c>
      <c r="O94" s="62">
        <f t="shared" si="1"/>
        <v>76791.490902294026</v>
      </c>
      <c r="P94" s="62">
        <f t="shared" si="1"/>
        <v>20782.56562069686</v>
      </c>
      <c r="Q94" s="62">
        <f t="shared" si="1"/>
        <v>5624.8718845493913</v>
      </c>
      <c r="R94" s="62">
        <f t="shared" si="1"/>
        <v>1279.8125067403487</v>
      </c>
      <c r="S94" s="62">
        <f t="shared" si="1"/>
        <v>260.3472979450388</v>
      </c>
    </row>
    <row r="95" spans="1:20" ht="15" thickBot="1"/>
    <row r="96" spans="1:20">
      <c r="A96" s="1" t="s">
        <v>115</v>
      </c>
      <c r="B96" s="63" t="s">
        <v>93</v>
      </c>
      <c r="C96" s="63" t="s">
        <v>94</v>
      </c>
      <c r="D96" s="63" t="s">
        <v>95</v>
      </c>
      <c r="E96" s="63" t="s">
        <v>96</v>
      </c>
      <c r="F96" s="63" t="s">
        <v>97</v>
      </c>
      <c r="G96" s="63" t="s">
        <v>98</v>
      </c>
      <c r="H96" s="63" t="s">
        <v>99</v>
      </c>
      <c r="I96" s="63" t="s">
        <v>100</v>
      </c>
      <c r="J96" s="63" t="s">
        <v>101</v>
      </c>
      <c r="K96" s="63" t="s">
        <v>102</v>
      </c>
      <c r="L96" s="63" t="s">
        <v>103</v>
      </c>
      <c r="M96" s="63" t="s">
        <v>104</v>
      </c>
      <c r="N96" s="63" t="s">
        <v>105</v>
      </c>
      <c r="O96" s="63" t="s">
        <v>106</v>
      </c>
      <c r="P96" s="63" t="s">
        <v>107</v>
      </c>
      <c r="Q96" s="63" t="s">
        <v>108</v>
      </c>
      <c r="R96" s="63" t="s">
        <v>109</v>
      </c>
    </row>
    <row r="97" spans="1:18">
      <c r="A97" s="22" t="s">
        <v>110</v>
      </c>
      <c r="B97" s="62">
        <f>$C$53*B50</f>
        <v>3979682.4988772287</v>
      </c>
      <c r="C97" s="62">
        <f t="shared" ref="C97:R97" si="2">$C$53*C50</f>
        <v>3390401.4627169357</v>
      </c>
      <c r="D97" s="62">
        <f t="shared" si="2"/>
        <v>2888376.5085873902</v>
      </c>
      <c r="E97" s="62">
        <f t="shared" si="2"/>
        <v>2399079.7968294844</v>
      </c>
      <c r="F97" s="62">
        <f t="shared" si="2"/>
        <v>1936204.2250661901</v>
      </c>
      <c r="G97" s="62">
        <f t="shared" si="2"/>
        <v>1512816.4871564757</v>
      </c>
      <c r="H97" s="62">
        <f t="shared" si="2"/>
        <v>1139893.6473310655</v>
      </c>
      <c r="I97" s="62">
        <f t="shared" si="2"/>
        <v>824940.55901545961</v>
      </c>
      <c r="J97" s="62">
        <f t="shared" si="2"/>
        <v>543880.57814548817</v>
      </c>
      <c r="K97" s="62">
        <f t="shared" si="2"/>
        <v>287866.00733782939</v>
      </c>
      <c r="L97" s="62">
        <f t="shared" si="2"/>
        <v>130965.65285784694</v>
      </c>
      <c r="M97" s="62">
        <f t="shared" si="2"/>
        <v>50467.638582177497</v>
      </c>
      <c r="N97" s="62">
        <f t="shared" si="2"/>
        <v>17829.679162425502</v>
      </c>
      <c r="O97" s="62">
        <f t="shared" si="2"/>
        <v>4824.6465056025354</v>
      </c>
      <c r="P97" s="62">
        <f t="shared" si="2"/>
        <v>1305.8472365348525</v>
      </c>
      <c r="Q97" s="62">
        <f t="shared" si="2"/>
        <v>297.34401923196538</v>
      </c>
      <c r="R97" s="62">
        <f t="shared" si="2"/>
        <v>60.29095320832478</v>
      </c>
    </row>
    <row r="98" spans="1:18" ht="15" thickBot="1">
      <c r="A98" s="19" t="s">
        <v>111</v>
      </c>
      <c r="B98" s="62">
        <f>$C$53*B51</f>
        <v>3428124.4159402349</v>
      </c>
      <c r="C98" s="62">
        <f t="shared" ref="C98:R98" si="3">$C$53*C51</f>
        <v>2920514.3271453003</v>
      </c>
      <c r="D98" s="62">
        <f t="shared" si="3"/>
        <v>2488066.5032670987</v>
      </c>
      <c r="E98" s="62">
        <f t="shared" si="3"/>
        <v>2066583.4113791925</v>
      </c>
      <c r="F98" s="62">
        <f t="shared" si="3"/>
        <v>1667858.7840784926</v>
      </c>
      <c r="G98" s="62">
        <f t="shared" si="3"/>
        <v>1303150.5866277167</v>
      </c>
      <c r="H98" s="62">
        <f t="shared" si="3"/>
        <v>981912.1664401429</v>
      </c>
      <c r="I98" s="62">
        <f t="shared" si="3"/>
        <v>710608.35799842759</v>
      </c>
      <c r="J98" s="62">
        <f t="shared" si="3"/>
        <v>468501.81389678014</v>
      </c>
      <c r="K98" s="62">
        <f t="shared" si="3"/>
        <v>247969.83930115704</v>
      </c>
      <c r="L98" s="62">
        <f t="shared" si="3"/>
        <v>112815.33544426809</v>
      </c>
      <c r="M98" s="62">
        <f t="shared" si="3"/>
        <v>43473.888010011826</v>
      </c>
      <c r="N98" s="62">
        <f t="shared" si="3"/>
        <v>15357.750080884185</v>
      </c>
      <c r="O98" s="62">
        <f t="shared" si="3"/>
        <v>4155.9650245647508</v>
      </c>
      <c r="P98" s="62">
        <f t="shared" si="3"/>
        <v>1124.9743769098782</v>
      </c>
      <c r="Q98" s="62">
        <f t="shared" si="3"/>
        <v>256.2365511353803</v>
      </c>
      <c r="R98" s="62">
        <f t="shared" si="3"/>
        <v>52.069459589007764</v>
      </c>
    </row>
  </sheetData>
  <phoneticPr fontId="23" type="noConversion"/>
  <pageMargins left="0.7" right="0.7" top="0.75" bottom="0.75" header="0.3" footer="0.3"/>
  <pageSetup paperSize="9" orientation="portrait" r:id="rId1"/>
  <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L308"/>
  <sheetViews>
    <sheetView tabSelected="1" topLeftCell="A257" zoomScale="70" zoomScaleNormal="70" workbookViewId="0">
      <selection activeCell="L282" sqref="L282"/>
    </sheetView>
  </sheetViews>
  <sheetFormatPr defaultRowHeight="14.4"/>
  <cols>
    <col min="1" max="1" width="13.5546875" bestFit="1" customWidth="1"/>
    <col min="3" max="3" width="11.6640625" bestFit="1" customWidth="1"/>
    <col min="4" max="5" width="10.6640625" bestFit="1" customWidth="1"/>
    <col min="6" max="6" width="9.6640625" bestFit="1" customWidth="1"/>
    <col min="9" max="9" width="11.6640625" bestFit="1" customWidth="1"/>
    <col min="10" max="10" width="10.6640625" bestFit="1" customWidth="1"/>
    <col min="11" max="11" width="10.5546875" bestFit="1" customWidth="1"/>
    <col min="12" max="13" width="11.109375" bestFit="1" customWidth="1"/>
    <col min="16" max="19" width="12" bestFit="1" customWidth="1"/>
    <col min="22" max="25" width="12" bestFit="1" customWidth="1"/>
    <col min="26" max="26" width="14.33203125" customWidth="1"/>
    <col min="37" max="37" width="9.6640625" customWidth="1"/>
    <col min="39" max="39" width="15.33203125" customWidth="1"/>
    <col min="40" max="40" width="17.6640625" customWidth="1"/>
  </cols>
  <sheetData>
    <row r="1" spans="1:38" ht="18">
      <c r="A1" s="82" t="s">
        <v>411</v>
      </c>
      <c r="B1" s="82"/>
      <c r="C1" s="82"/>
      <c r="D1" s="82"/>
      <c r="E1" s="82"/>
      <c r="F1" s="82"/>
      <c r="G1" s="82"/>
      <c r="H1" s="82"/>
      <c r="I1" s="82"/>
      <c r="J1" s="82"/>
      <c r="K1" s="82"/>
      <c r="L1" s="82"/>
      <c r="N1" s="82" t="s">
        <v>412</v>
      </c>
      <c r="O1" s="82"/>
      <c r="P1" s="82"/>
      <c r="Q1" s="82"/>
      <c r="R1" s="82"/>
      <c r="S1" s="82"/>
      <c r="T1" s="82"/>
      <c r="U1" s="82"/>
      <c r="V1" s="82"/>
      <c r="W1" s="82"/>
      <c r="X1" s="82"/>
      <c r="Y1" s="82"/>
      <c r="AA1" s="82" t="s">
        <v>413</v>
      </c>
      <c r="AB1" s="82"/>
      <c r="AC1" s="82"/>
      <c r="AD1" s="82"/>
      <c r="AE1" s="82"/>
      <c r="AF1" s="82"/>
      <c r="AG1" s="82"/>
      <c r="AH1" s="82"/>
      <c r="AI1" s="82"/>
      <c r="AJ1" s="82"/>
      <c r="AK1" s="82"/>
      <c r="AL1" s="82"/>
    </row>
    <row r="2" spans="1:38" ht="18.600000000000001" thickBot="1">
      <c r="A2" s="25" t="s">
        <v>120</v>
      </c>
      <c r="B2" s="26" t="s">
        <v>110</v>
      </c>
      <c r="C2" s="13" t="s">
        <v>121</v>
      </c>
      <c r="D2" s="27" t="s">
        <v>122</v>
      </c>
      <c r="E2" s="27" t="s">
        <v>113</v>
      </c>
      <c r="F2" s="27" t="s">
        <v>123</v>
      </c>
      <c r="G2" s="13"/>
      <c r="H2" s="26" t="s">
        <v>111</v>
      </c>
      <c r="I2" s="13" t="s">
        <v>121</v>
      </c>
      <c r="J2" s="27" t="s">
        <v>122</v>
      </c>
      <c r="K2" s="27" t="s">
        <v>113</v>
      </c>
      <c r="L2" s="27" t="s">
        <v>123</v>
      </c>
      <c r="N2" s="25" t="s">
        <v>120</v>
      </c>
      <c r="O2" s="26" t="s">
        <v>110</v>
      </c>
      <c r="P2" s="27" t="s">
        <v>121</v>
      </c>
      <c r="Q2" s="27" t="s">
        <v>122</v>
      </c>
      <c r="R2" s="27" t="s">
        <v>113</v>
      </c>
      <c r="S2" s="27" t="s">
        <v>123</v>
      </c>
      <c r="T2" s="13"/>
      <c r="U2" s="26" t="s">
        <v>111</v>
      </c>
      <c r="V2" s="27" t="s">
        <v>121</v>
      </c>
      <c r="W2" s="27" t="s">
        <v>122</v>
      </c>
      <c r="X2" s="27" t="s">
        <v>113</v>
      </c>
      <c r="Y2" s="27" t="s">
        <v>123</v>
      </c>
      <c r="AA2" s="25" t="s">
        <v>120</v>
      </c>
      <c r="AB2" s="26" t="s">
        <v>110</v>
      </c>
      <c r="AC2" s="27" t="s">
        <v>121</v>
      </c>
      <c r="AD2" s="27" t="s">
        <v>122</v>
      </c>
      <c r="AE2" s="27" t="s">
        <v>113</v>
      </c>
      <c r="AF2" s="27" t="s">
        <v>123</v>
      </c>
      <c r="AG2" s="13"/>
      <c r="AH2" s="26" t="s">
        <v>111</v>
      </c>
      <c r="AI2" s="27" t="s">
        <v>121</v>
      </c>
      <c r="AJ2" s="27" t="s">
        <v>122</v>
      </c>
      <c r="AK2" s="27" t="s">
        <v>113</v>
      </c>
      <c r="AL2" s="27" t="s">
        <v>123</v>
      </c>
    </row>
    <row r="3" spans="1:38" ht="15" thickBot="1">
      <c r="B3" t="s">
        <v>124</v>
      </c>
      <c r="C3" s="30">
        <v>92893780</v>
      </c>
      <c r="D3">
        <v>1</v>
      </c>
      <c r="E3">
        <v>1</v>
      </c>
      <c r="F3">
        <v>1</v>
      </c>
      <c r="I3" s="30">
        <v>91885000</v>
      </c>
      <c r="J3">
        <v>1</v>
      </c>
      <c r="K3">
        <v>1</v>
      </c>
      <c r="L3">
        <v>1</v>
      </c>
      <c r="O3" s="24" t="s">
        <v>124</v>
      </c>
      <c r="P3">
        <v>149440800</v>
      </c>
      <c r="Q3">
        <v>0</v>
      </c>
      <c r="R3">
        <v>0</v>
      </c>
      <c r="S3">
        <v>0</v>
      </c>
      <c r="U3" s="24"/>
      <c r="V3">
        <v>140724848</v>
      </c>
      <c r="W3">
        <v>0</v>
      </c>
      <c r="X3">
        <v>0</v>
      </c>
      <c r="Y3">
        <v>0</v>
      </c>
      <c r="AB3" s="24" t="s">
        <v>124</v>
      </c>
      <c r="AC3">
        <v>295991712</v>
      </c>
      <c r="AD3">
        <v>0</v>
      </c>
      <c r="AE3">
        <v>0</v>
      </c>
      <c r="AF3">
        <v>0</v>
      </c>
      <c r="AH3" s="24"/>
      <c r="AI3">
        <v>278662624</v>
      </c>
      <c r="AJ3">
        <v>0</v>
      </c>
      <c r="AK3">
        <v>0</v>
      </c>
      <c r="AL3">
        <v>0</v>
      </c>
    </row>
    <row r="4" spans="1:38">
      <c r="B4" s="24" t="s">
        <v>125</v>
      </c>
      <c r="C4">
        <v>80919102</v>
      </c>
      <c r="D4">
        <v>1</v>
      </c>
      <c r="E4">
        <v>1</v>
      </c>
      <c r="F4">
        <v>1</v>
      </c>
      <c r="H4" s="24"/>
      <c r="I4">
        <v>80040359</v>
      </c>
      <c r="J4">
        <v>1</v>
      </c>
      <c r="K4">
        <v>1</v>
      </c>
      <c r="L4">
        <v>1</v>
      </c>
      <c r="O4" s="24" t="s">
        <v>125</v>
      </c>
      <c r="P4">
        <v>129138400</v>
      </c>
      <c r="Q4">
        <v>0</v>
      </c>
      <c r="R4">
        <v>0</v>
      </c>
      <c r="S4">
        <v>0</v>
      </c>
      <c r="U4" s="24"/>
      <c r="V4">
        <v>121606912</v>
      </c>
      <c r="W4">
        <v>0</v>
      </c>
      <c r="X4">
        <v>0</v>
      </c>
      <c r="Y4">
        <v>0</v>
      </c>
      <c r="AB4" s="24" t="s">
        <v>125</v>
      </c>
      <c r="AC4">
        <v>283645376</v>
      </c>
      <c r="AD4">
        <v>0</v>
      </c>
      <c r="AE4">
        <v>0</v>
      </c>
      <c r="AF4">
        <v>0</v>
      </c>
      <c r="AH4" s="24"/>
      <c r="AI4">
        <v>267039648</v>
      </c>
      <c r="AJ4">
        <v>0</v>
      </c>
      <c r="AK4">
        <v>0</v>
      </c>
      <c r="AL4">
        <v>0</v>
      </c>
    </row>
    <row r="5" spans="1:38">
      <c r="B5" s="24" t="s">
        <v>91</v>
      </c>
      <c r="C5">
        <v>54585865</v>
      </c>
      <c r="D5">
        <v>17285037</v>
      </c>
      <c r="E5">
        <v>1</v>
      </c>
      <c r="F5">
        <v>1</v>
      </c>
      <c r="H5" s="24"/>
      <c r="I5">
        <v>59178870</v>
      </c>
      <c r="J5">
        <v>11911559</v>
      </c>
      <c r="K5">
        <v>1</v>
      </c>
      <c r="L5">
        <v>1</v>
      </c>
      <c r="O5" s="24" t="s">
        <v>91</v>
      </c>
      <c r="P5">
        <v>91066344</v>
      </c>
      <c r="Q5">
        <v>20250908</v>
      </c>
      <c r="R5">
        <v>0</v>
      </c>
      <c r="S5">
        <v>0</v>
      </c>
      <c r="U5" s="24"/>
      <c r="V5">
        <v>87161128</v>
      </c>
      <c r="W5">
        <v>17628120</v>
      </c>
      <c r="X5">
        <v>0</v>
      </c>
      <c r="Y5">
        <v>0</v>
      </c>
      <c r="AB5" s="24" t="s">
        <v>91</v>
      </c>
      <c r="AC5">
        <v>230547904</v>
      </c>
      <c r="AD5">
        <v>38777916</v>
      </c>
      <c r="AE5">
        <v>0</v>
      </c>
      <c r="AF5">
        <v>0</v>
      </c>
      <c r="AH5" s="24"/>
      <c r="AI5">
        <v>213285568</v>
      </c>
      <c r="AJ5">
        <v>40237572</v>
      </c>
      <c r="AK5">
        <v>0</v>
      </c>
      <c r="AL5">
        <v>0</v>
      </c>
    </row>
    <row r="6" spans="1:38">
      <c r="B6" s="24" t="s">
        <v>92</v>
      </c>
      <c r="C6">
        <v>37126194</v>
      </c>
      <c r="D6">
        <v>15352263</v>
      </c>
      <c r="E6">
        <v>13036506</v>
      </c>
      <c r="F6">
        <v>1</v>
      </c>
      <c r="H6" s="24"/>
      <c r="I6">
        <v>42779476</v>
      </c>
      <c r="J6">
        <v>10579634</v>
      </c>
      <c r="K6">
        <v>11229733</v>
      </c>
      <c r="L6">
        <v>1</v>
      </c>
      <c r="O6" s="24" t="s">
        <v>92</v>
      </c>
      <c r="P6">
        <v>53865796</v>
      </c>
      <c r="Q6">
        <v>19969688</v>
      </c>
      <c r="R6">
        <v>25459024</v>
      </c>
      <c r="S6">
        <v>0</v>
      </c>
      <c r="U6" s="24"/>
      <c r="V6">
        <v>64555880</v>
      </c>
      <c r="W6">
        <v>15154262</v>
      </c>
      <c r="X6">
        <v>13971740</v>
      </c>
      <c r="Y6">
        <v>0</v>
      </c>
      <c r="AB6" s="24" t="s">
        <v>92</v>
      </c>
      <c r="AC6">
        <v>96144448</v>
      </c>
      <c r="AD6">
        <v>36275132</v>
      </c>
      <c r="AE6">
        <v>121582896</v>
      </c>
      <c r="AF6">
        <v>0</v>
      </c>
      <c r="AH6" s="24"/>
      <c r="AI6">
        <v>82203496</v>
      </c>
      <c r="AJ6">
        <v>37350120</v>
      </c>
      <c r="AK6">
        <v>119786232</v>
      </c>
      <c r="AL6">
        <v>0</v>
      </c>
    </row>
    <row r="7" spans="1:38">
      <c r="B7" s="24" t="s">
        <v>93</v>
      </c>
      <c r="C7">
        <v>28605285</v>
      </c>
      <c r="D7">
        <v>13373245</v>
      </c>
      <c r="E7">
        <v>11356005</v>
      </c>
      <c r="F7">
        <v>2271202</v>
      </c>
      <c r="H7" s="24"/>
      <c r="I7">
        <v>34047473</v>
      </c>
      <c r="J7">
        <v>9215843</v>
      </c>
      <c r="K7">
        <v>9782140</v>
      </c>
      <c r="L7">
        <v>1956428</v>
      </c>
      <c r="O7" s="24" t="s">
        <v>93</v>
      </c>
      <c r="P7">
        <v>45065660</v>
      </c>
      <c r="Q7">
        <v>19447810</v>
      </c>
      <c r="R7">
        <v>21052970</v>
      </c>
      <c r="S7">
        <v>4270364</v>
      </c>
      <c r="U7" s="24"/>
      <c r="V7">
        <v>55301880</v>
      </c>
      <c r="W7">
        <v>13402236</v>
      </c>
      <c r="X7">
        <v>13008326</v>
      </c>
      <c r="Y7">
        <v>2861867.5</v>
      </c>
      <c r="AB7" s="24" t="s">
        <v>93</v>
      </c>
      <c r="AC7">
        <v>58539008</v>
      </c>
      <c r="AD7">
        <v>33547076</v>
      </c>
      <c r="AE7">
        <v>112906736</v>
      </c>
      <c r="AF7">
        <v>34916424</v>
      </c>
      <c r="AH7" s="24"/>
      <c r="AI7">
        <v>52214656</v>
      </c>
      <c r="AJ7">
        <v>34118472</v>
      </c>
      <c r="AK7">
        <v>109129776</v>
      </c>
      <c r="AL7">
        <v>30702016</v>
      </c>
    </row>
    <row r="8" spans="1:38">
      <c r="B8" s="24" t="s">
        <v>94</v>
      </c>
      <c r="C8">
        <v>24369629</v>
      </c>
      <c r="D8">
        <v>11393035</v>
      </c>
      <c r="E8">
        <v>9674493</v>
      </c>
      <c r="F8">
        <v>1934899</v>
      </c>
      <c r="H8" s="24"/>
      <c r="I8">
        <v>29005985</v>
      </c>
      <c r="J8">
        <v>7851231</v>
      </c>
      <c r="K8">
        <v>8333675</v>
      </c>
      <c r="L8">
        <v>1666735</v>
      </c>
      <c r="O8" s="24" t="s">
        <v>94</v>
      </c>
      <c r="P8">
        <v>41671392</v>
      </c>
      <c r="Q8">
        <v>18452760</v>
      </c>
      <c r="R8">
        <v>17281924</v>
      </c>
      <c r="S8">
        <v>3513283</v>
      </c>
      <c r="U8" s="24"/>
      <c r="V8">
        <v>49664692</v>
      </c>
      <c r="W8">
        <v>12063073</v>
      </c>
      <c r="X8">
        <v>11913942</v>
      </c>
      <c r="Y8">
        <v>2566716.5</v>
      </c>
      <c r="AB8" s="24" t="s">
        <v>94</v>
      </c>
      <c r="AC8">
        <v>59662840</v>
      </c>
      <c r="AD8">
        <v>30748884</v>
      </c>
      <c r="AE8">
        <v>102560920</v>
      </c>
      <c r="AF8">
        <v>30662130</v>
      </c>
      <c r="AH8" s="24"/>
      <c r="AI8">
        <v>57122336</v>
      </c>
      <c r="AJ8">
        <v>30732320</v>
      </c>
      <c r="AK8">
        <v>96665712</v>
      </c>
      <c r="AL8">
        <v>26227972</v>
      </c>
    </row>
    <row r="9" spans="1:38">
      <c r="B9" s="24" t="s">
        <v>95</v>
      </c>
      <c r="C9">
        <v>20761162</v>
      </c>
      <c r="D9">
        <v>9706041</v>
      </c>
      <c r="E9">
        <v>8241967</v>
      </c>
      <c r="F9">
        <v>1648394</v>
      </c>
      <c r="H9" s="24"/>
      <c r="I9">
        <v>24710997</v>
      </c>
      <c r="J9">
        <v>6688680</v>
      </c>
      <c r="K9">
        <v>7099687</v>
      </c>
      <c r="L9">
        <v>1419938</v>
      </c>
      <c r="O9" s="24" t="s">
        <v>95</v>
      </c>
      <c r="P9">
        <v>38325112</v>
      </c>
      <c r="Q9">
        <v>17065968</v>
      </c>
      <c r="R9">
        <v>14628912</v>
      </c>
      <c r="S9">
        <v>2981019.25</v>
      </c>
      <c r="U9" s="24"/>
      <c r="V9">
        <v>44587460</v>
      </c>
      <c r="W9">
        <v>10947267</v>
      </c>
      <c r="X9">
        <v>10945395</v>
      </c>
      <c r="Y9">
        <v>2306365.5</v>
      </c>
      <c r="AB9" s="24" t="s">
        <v>95</v>
      </c>
      <c r="AC9">
        <v>60179488</v>
      </c>
      <c r="AD9">
        <v>28096000</v>
      </c>
      <c r="AE9">
        <v>92117632</v>
      </c>
      <c r="AF9">
        <v>26646836</v>
      </c>
      <c r="AH9" s="24"/>
      <c r="AI9">
        <v>61288612</v>
      </c>
      <c r="AJ9">
        <v>27499492</v>
      </c>
      <c r="AK9">
        <v>84184696</v>
      </c>
      <c r="AL9">
        <v>22061224</v>
      </c>
    </row>
    <row r="10" spans="1:38">
      <c r="B10" s="24" t="s">
        <v>96</v>
      </c>
      <c r="C10">
        <v>17244176</v>
      </c>
      <c r="D10">
        <v>8061819</v>
      </c>
      <c r="E10">
        <v>6845762</v>
      </c>
      <c r="F10">
        <v>1369153</v>
      </c>
      <c r="H10" s="24"/>
      <c r="I10">
        <v>20524907</v>
      </c>
      <c r="J10">
        <v>5555605</v>
      </c>
      <c r="K10">
        <v>5896987</v>
      </c>
      <c r="L10">
        <v>1179398</v>
      </c>
      <c r="O10" s="24" t="s">
        <v>96</v>
      </c>
      <c r="P10">
        <v>35050940</v>
      </c>
      <c r="Q10">
        <v>15523386</v>
      </c>
      <c r="R10">
        <v>12771108</v>
      </c>
      <c r="S10">
        <v>2592930.25</v>
      </c>
      <c r="U10" s="24"/>
      <c r="V10">
        <v>40078444</v>
      </c>
      <c r="W10">
        <v>9969255</v>
      </c>
      <c r="X10">
        <v>10065240</v>
      </c>
      <c r="Y10">
        <v>2078182.75</v>
      </c>
      <c r="AB10" s="24" t="s">
        <v>96</v>
      </c>
      <c r="AC10">
        <v>59920504</v>
      </c>
      <c r="AD10">
        <v>25755890</v>
      </c>
      <c r="AE10">
        <v>81883944</v>
      </c>
      <c r="AF10">
        <v>22928336</v>
      </c>
      <c r="AH10" s="24"/>
      <c r="AI10">
        <v>64257744</v>
      </c>
      <c r="AJ10">
        <v>24656030</v>
      </c>
      <c r="AK10">
        <v>72173776</v>
      </c>
      <c r="AL10">
        <v>18284476</v>
      </c>
    </row>
    <row r="11" spans="1:38">
      <c r="B11" s="24" t="s">
        <v>97</v>
      </c>
      <c r="C11">
        <v>13917107</v>
      </c>
      <c r="D11">
        <v>6506382</v>
      </c>
      <c r="E11">
        <v>5524949</v>
      </c>
      <c r="F11">
        <v>1104990</v>
      </c>
      <c r="H11" s="24"/>
      <c r="I11">
        <v>16564857</v>
      </c>
      <c r="J11">
        <v>4483714</v>
      </c>
      <c r="K11">
        <v>4759230</v>
      </c>
      <c r="L11">
        <v>951846</v>
      </c>
      <c r="O11" s="24" t="s">
        <v>97</v>
      </c>
      <c r="P11">
        <v>31896034</v>
      </c>
      <c r="Q11">
        <v>14024386</v>
      </c>
      <c r="R11">
        <v>11401769</v>
      </c>
      <c r="S11">
        <v>2295317.5</v>
      </c>
      <c r="U11" s="24"/>
      <c r="V11">
        <v>36090464</v>
      </c>
      <c r="W11">
        <v>9095246</v>
      </c>
      <c r="X11">
        <v>9260000</v>
      </c>
      <c r="Y11">
        <v>1880124.875</v>
      </c>
      <c r="AB11" s="24" t="s">
        <v>97</v>
      </c>
      <c r="AC11">
        <v>58879508</v>
      </c>
      <c r="AD11">
        <v>23797814</v>
      </c>
      <c r="AE11">
        <v>72074408</v>
      </c>
      <c r="AF11">
        <v>19541168</v>
      </c>
      <c r="AH11" s="24"/>
      <c r="AI11">
        <v>65862320</v>
      </c>
      <c r="AJ11">
        <v>22289628</v>
      </c>
      <c r="AK11">
        <v>60962588</v>
      </c>
      <c r="AL11">
        <v>14945424</v>
      </c>
    </row>
    <row r="12" spans="1:38">
      <c r="B12" s="24" t="s">
        <v>98</v>
      </c>
      <c r="C12">
        <v>10873872</v>
      </c>
      <c r="D12">
        <v>5083639</v>
      </c>
      <c r="E12">
        <v>4316815</v>
      </c>
      <c r="F12">
        <v>863363</v>
      </c>
      <c r="H12" s="24"/>
      <c r="I12">
        <v>12942641</v>
      </c>
      <c r="J12">
        <v>3503265</v>
      </c>
      <c r="K12">
        <v>3718535</v>
      </c>
      <c r="L12">
        <v>743707</v>
      </c>
      <c r="O12" s="24" t="s">
        <v>98</v>
      </c>
      <c r="P12">
        <v>27499988</v>
      </c>
      <c r="Q12">
        <v>12047108</v>
      </c>
      <c r="R12">
        <v>9806299</v>
      </c>
      <c r="S12">
        <v>1956103</v>
      </c>
      <c r="U12" s="24"/>
      <c r="V12">
        <v>30975632</v>
      </c>
      <c r="W12">
        <v>7899466</v>
      </c>
      <c r="X12">
        <v>8098367.5</v>
      </c>
      <c r="Y12">
        <v>1624417.375</v>
      </c>
      <c r="AB12" s="24" t="s">
        <v>98</v>
      </c>
      <c r="AC12">
        <v>55333060</v>
      </c>
      <c r="AD12">
        <v>21510244</v>
      </c>
      <c r="AE12">
        <v>61046212</v>
      </c>
      <c r="AF12">
        <v>16047419</v>
      </c>
      <c r="AH12" s="24"/>
      <c r="AI12">
        <v>64000304</v>
      </c>
      <c r="AJ12">
        <v>19746838</v>
      </c>
      <c r="AK12">
        <v>49426972</v>
      </c>
      <c r="AL12">
        <v>11757310</v>
      </c>
    </row>
    <row r="13" spans="1:38">
      <c r="B13" s="24" t="s">
        <v>99</v>
      </c>
      <c r="C13">
        <v>8193361</v>
      </c>
      <c r="D13">
        <v>3830476</v>
      </c>
      <c r="E13">
        <v>3252681</v>
      </c>
      <c r="F13">
        <v>650536</v>
      </c>
      <c r="H13" s="24"/>
      <c r="I13">
        <v>9752161</v>
      </c>
      <c r="J13">
        <v>2639679</v>
      </c>
      <c r="K13">
        <v>2801883</v>
      </c>
      <c r="L13">
        <v>560377</v>
      </c>
      <c r="O13" s="24" t="s">
        <v>99</v>
      </c>
      <c r="P13">
        <v>23568468</v>
      </c>
      <c r="Q13">
        <v>10334780</v>
      </c>
      <c r="R13">
        <v>8457059</v>
      </c>
      <c r="S13">
        <v>1673715.25</v>
      </c>
      <c r="U13" s="24"/>
      <c r="V13">
        <v>26544610</v>
      </c>
      <c r="W13">
        <v>6845005</v>
      </c>
      <c r="X13">
        <v>7058157</v>
      </c>
      <c r="Y13">
        <v>1403548.625</v>
      </c>
      <c r="AB13" s="24" t="s">
        <v>99</v>
      </c>
      <c r="AC13">
        <v>51442060</v>
      </c>
      <c r="AD13">
        <v>19596948</v>
      </c>
      <c r="AE13">
        <v>51228168</v>
      </c>
      <c r="AF13">
        <v>13060844</v>
      </c>
      <c r="AH13" s="24"/>
      <c r="AI13">
        <v>61047560</v>
      </c>
      <c r="AJ13">
        <v>17611804</v>
      </c>
      <c r="AK13">
        <v>39562664</v>
      </c>
      <c r="AL13">
        <v>9152206</v>
      </c>
    </row>
    <row r="14" spans="1:38">
      <c r="B14" s="24" t="s">
        <v>100</v>
      </c>
      <c r="C14">
        <v>5929529</v>
      </c>
      <c r="D14">
        <v>2772112</v>
      </c>
      <c r="E14">
        <v>2353962</v>
      </c>
      <c r="F14">
        <v>470793</v>
      </c>
      <c r="H14" s="24"/>
      <c r="I14">
        <v>7057632</v>
      </c>
      <c r="J14">
        <v>1910333</v>
      </c>
      <c r="K14">
        <v>2027720</v>
      </c>
      <c r="L14">
        <v>405544</v>
      </c>
      <c r="O14" s="24" t="s">
        <v>100</v>
      </c>
      <c r="P14">
        <v>20102836</v>
      </c>
      <c r="Q14">
        <v>8858136</v>
      </c>
      <c r="R14">
        <v>7288615</v>
      </c>
      <c r="S14">
        <v>1434111.125</v>
      </c>
      <c r="U14" s="24"/>
      <c r="V14">
        <v>22714478</v>
      </c>
      <c r="W14">
        <v>5916575.5</v>
      </c>
      <c r="X14">
        <v>6128763</v>
      </c>
      <c r="Y14">
        <v>1211433.75</v>
      </c>
      <c r="AB14" s="24" t="s">
        <v>100</v>
      </c>
      <c r="AC14">
        <v>47403020</v>
      </c>
      <c r="AD14">
        <v>17972328</v>
      </c>
      <c r="AE14">
        <v>42637400</v>
      </c>
      <c r="AF14">
        <v>10548816</v>
      </c>
      <c r="AH14" s="24"/>
      <c r="AI14">
        <v>57322976</v>
      </c>
      <c r="AJ14">
        <v>15774290</v>
      </c>
      <c r="AK14">
        <v>31386488</v>
      </c>
      <c r="AL14">
        <v>7086003</v>
      </c>
    </row>
    <row r="15" spans="1:38">
      <c r="B15" s="24" t="s">
        <v>101</v>
      </c>
      <c r="C15">
        <v>3909321</v>
      </c>
      <c r="D15">
        <v>1827645</v>
      </c>
      <c r="E15">
        <v>1551960</v>
      </c>
      <c r="F15">
        <v>310392</v>
      </c>
      <c r="H15" s="24"/>
      <c r="I15">
        <v>4653076</v>
      </c>
      <c r="J15">
        <v>1259477</v>
      </c>
      <c r="K15">
        <v>1336870</v>
      </c>
      <c r="L15">
        <v>267374</v>
      </c>
      <c r="O15" s="24" t="s">
        <v>101</v>
      </c>
      <c r="P15">
        <v>17087180</v>
      </c>
      <c r="Q15">
        <v>7583858</v>
      </c>
      <c r="R15">
        <v>6267800</v>
      </c>
      <c r="S15">
        <v>1228448.125</v>
      </c>
      <c r="U15" s="24"/>
      <c r="V15">
        <v>19412690</v>
      </c>
      <c r="W15">
        <v>5100787</v>
      </c>
      <c r="X15">
        <v>5301263</v>
      </c>
      <c r="Y15">
        <v>1043496.375</v>
      </c>
      <c r="AB15" s="24" t="s">
        <v>101</v>
      </c>
      <c r="AC15">
        <v>43365184</v>
      </c>
      <c r="AD15">
        <v>16556134</v>
      </c>
      <c r="AE15">
        <v>35230620</v>
      </c>
      <c r="AF15">
        <v>8464652</v>
      </c>
      <c r="AH15" s="24"/>
      <c r="AI15">
        <v>53083792</v>
      </c>
      <c r="AJ15">
        <v>14138182</v>
      </c>
      <c r="AK15">
        <v>24788140</v>
      </c>
      <c r="AL15">
        <v>5485378</v>
      </c>
    </row>
    <row r="16" spans="1:38">
      <c r="B16" s="24" t="s">
        <v>102</v>
      </c>
      <c r="C16">
        <v>2069127</v>
      </c>
      <c r="D16">
        <v>967337</v>
      </c>
      <c r="E16">
        <v>821423</v>
      </c>
      <c r="F16">
        <v>164285</v>
      </c>
      <c r="H16" s="24"/>
      <c r="I16">
        <v>2462782</v>
      </c>
      <c r="J16">
        <v>666617</v>
      </c>
      <c r="K16">
        <v>707579</v>
      </c>
      <c r="L16">
        <v>141516</v>
      </c>
      <c r="O16" s="24" t="s">
        <v>102</v>
      </c>
      <c r="P16">
        <v>11761258</v>
      </c>
      <c r="Q16">
        <v>5254088</v>
      </c>
      <c r="R16">
        <v>4354279.5</v>
      </c>
      <c r="S16">
        <v>851590.9375</v>
      </c>
      <c r="U16" s="24"/>
      <c r="V16">
        <v>13432861</v>
      </c>
      <c r="W16">
        <v>3550783.5</v>
      </c>
      <c r="X16">
        <v>3697370</v>
      </c>
      <c r="Y16">
        <v>725963.8125</v>
      </c>
      <c r="AB16" s="24" t="s">
        <v>102</v>
      </c>
      <c r="AC16">
        <v>33006840</v>
      </c>
      <c r="AD16">
        <v>12750395</v>
      </c>
      <c r="AE16">
        <v>24609590</v>
      </c>
      <c r="AF16">
        <v>5771498.5</v>
      </c>
      <c r="AH16" s="24"/>
      <c r="AI16">
        <v>40637252</v>
      </c>
      <c r="AJ16">
        <v>10610162</v>
      </c>
      <c r="AK16">
        <v>16737754</v>
      </c>
      <c r="AL16">
        <v>3653761.5</v>
      </c>
    </row>
    <row r="17" spans="1:38">
      <c r="B17" s="24" t="s">
        <v>103</v>
      </c>
      <c r="C17">
        <v>941365</v>
      </c>
      <c r="D17">
        <v>440096</v>
      </c>
      <c r="E17">
        <v>373712</v>
      </c>
      <c r="F17">
        <v>74742</v>
      </c>
      <c r="H17" s="24"/>
      <c r="I17">
        <v>1120459</v>
      </c>
      <c r="J17">
        <v>303281</v>
      </c>
      <c r="K17">
        <v>321918</v>
      </c>
      <c r="L17">
        <v>64384</v>
      </c>
      <c r="O17" s="24" t="s">
        <v>103</v>
      </c>
      <c r="P17">
        <v>7897084</v>
      </c>
      <c r="Q17">
        <v>3550400</v>
      </c>
      <c r="R17">
        <v>2948265.25</v>
      </c>
      <c r="S17">
        <v>575863.8125</v>
      </c>
      <c r="U17" s="24"/>
      <c r="V17">
        <v>9069838</v>
      </c>
      <c r="W17">
        <v>2409045.75</v>
      </c>
      <c r="X17">
        <v>2511612.25</v>
      </c>
      <c r="Y17">
        <v>492269.0625</v>
      </c>
      <c r="AB17" s="24" t="s">
        <v>103</v>
      </c>
      <c r="AC17">
        <v>24544680</v>
      </c>
      <c r="AD17">
        <v>9627695</v>
      </c>
      <c r="AE17">
        <v>16824152</v>
      </c>
      <c r="AF17">
        <v>3856800.75</v>
      </c>
      <c r="AH17" s="24"/>
      <c r="AI17">
        <v>30273150</v>
      </c>
      <c r="AJ17">
        <v>7792260</v>
      </c>
      <c r="AK17">
        <v>11149287</v>
      </c>
      <c r="AL17">
        <v>2409593.5</v>
      </c>
    </row>
    <row r="18" spans="1:38">
      <c r="B18" s="24" t="s">
        <v>104</v>
      </c>
      <c r="C18">
        <v>362756</v>
      </c>
      <c r="D18">
        <v>169592</v>
      </c>
      <c r="E18">
        <v>144011</v>
      </c>
      <c r="F18">
        <v>28802</v>
      </c>
      <c r="H18" s="24"/>
      <c r="I18">
        <v>431770</v>
      </c>
      <c r="J18">
        <v>116870</v>
      </c>
      <c r="K18">
        <v>124052</v>
      </c>
      <c r="L18">
        <v>24811</v>
      </c>
      <c r="O18" s="24" t="s">
        <v>104</v>
      </c>
      <c r="P18">
        <v>5184687</v>
      </c>
      <c r="Q18">
        <v>2344659.5</v>
      </c>
      <c r="R18">
        <v>1949890.5</v>
      </c>
      <c r="S18">
        <v>380633.75</v>
      </c>
      <c r="U18" s="24"/>
      <c r="V18">
        <v>5987296</v>
      </c>
      <c r="W18">
        <v>1596259</v>
      </c>
      <c r="X18">
        <v>1665514.75</v>
      </c>
      <c r="Y18">
        <v>326066.75</v>
      </c>
      <c r="AB18" s="24" t="s">
        <v>104</v>
      </c>
      <c r="AC18">
        <v>17852032</v>
      </c>
      <c r="AD18">
        <v>7121918</v>
      </c>
      <c r="AE18">
        <v>11274592</v>
      </c>
      <c r="AF18">
        <v>2530426.5</v>
      </c>
      <c r="AH18" s="24"/>
      <c r="AI18">
        <v>21976946</v>
      </c>
      <c r="AJ18">
        <v>5598666</v>
      </c>
      <c r="AK18">
        <v>7349402.5</v>
      </c>
      <c r="AL18">
        <v>1577030.25</v>
      </c>
    </row>
    <row r="19" spans="1:38">
      <c r="B19" s="24" t="s">
        <v>105</v>
      </c>
      <c r="C19">
        <v>128154</v>
      </c>
      <c r="D19">
        <v>59913</v>
      </c>
      <c r="E19">
        <v>50876</v>
      </c>
      <c r="F19">
        <v>10175</v>
      </c>
      <c r="H19" s="24"/>
      <c r="I19">
        <v>152535</v>
      </c>
      <c r="J19">
        <v>41288</v>
      </c>
      <c r="K19">
        <v>43825</v>
      </c>
      <c r="L19">
        <v>8765</v>
      </c>
      <c r="O19" s="24" t="s">
        <v>105</v>
      </c>
      <c r="P19">
        <v>3326626</v>
      </c>
      <c r="Q19">
        <v>1512198.5</v>
      </c>
      <c r="R19">
        <v>1259054.375</v>
      </c>
      <c r="S19">
        <v>245782.5</v>
      </c>
      <c r="U19" s="24"/>
      <c r="V19">
        <v>3861298.5</v>
      </c>
      <c r="W19">
        <v>1032373.75</v>
      </c>
      <c r="X19">
        <v>1077729.125</v>
      </c>
      <c r="Y19">
        <v>210889.0625</v>
      </c>
      <c r="AB19" s="24" t="s">
        <v>105</v>
      </c>
      <c r="AC19">
        <v>12702928</v>
      </c>
      <c r="AD19">
        <v>5154790.5</v>
      </c>
      <c r="AE19">
        <v>7414766.5</v>
      </c>
      <c r="AF19">
        <v>1632227.125</v>
      </c>
      <c r="AH19" s="24"/>
      <c r="AI19">
        <v>15564474</v>
      </c>
      <c r="AJ19">
        <v>3935816</v>
      </c>
      <c r="AK19">
        <v>4805332.5</v>
      </c>
      <c r="AL19">
        <v>1025816</v>
      </c>
    </row>
    <row r="20" spans="1:38">
      <c r="B20" s="24" t="s">
        <v>106</v>
      </c>
      <c r="C20">
        <v>34683</v>
      </c>
      <c r="D20">
        <v>16215</v>
      </c>
      <c r="E20">
        <v>13769</v>
      </c>
      <c r="F20">
        <v>2753</v>
      </c>
      <c r="H20" s="24"/>
      <c r="I20">
        <v>41282</v>
      </c>
      <c r="J20">
        <v>11174</v>
      </c>
      <c r="K20">
        <v>11861</v>
      </c>
      <c r="L20">
        <v>2372</v>
      </c>
      <c r="O20" s="24" t="s">
        <v>106</v>
      </c>
      <c r="P20">
        <v>2099200.5</v>
      </c>
      <c r="Q20">
        <v>958524.625</v>
      </c>
      <c r="R20">
        <v>798901.875</v>
      </c>
      <c r="S20">
        <v>156047.9375</v>
      </c>
      <c r="U20" s="24"/>
      <c r="V20">
        <v>2447878</v>
      </c>
      <c r="W20">
        <v>655862.875</v>
      </c>
      <c r="X20">
        <v>684997.875</v>
      </c>
      <c r="Y20">
        <v>134060.328125</v>
      </c>
      <c r="AB20" s="24" t="s">
        <v>106</v>
      </c>
      <c r="AC20">
        <v>8867255</v>
      </c>
      <c r="AD20">
        <v>3656618.25</v>
      </c>
      <c r="AE20">
        <v>4803281</v>
      </c>
      <c r="AF20">
        <v>1039114.4375</v>
      </c>
      <c r="AH20" s="24"/>
      <c r="AI20">
        <v>10790970</v>
      </c>
      <c r="AJ20">
        <v>2714885</v>
      </c>
      <c r="AK20">
        <v>3127776</v>
      </c>
      <c r="AL20">
        <v>664910.5625</v>
      </c>
    </row>
    <row r="21" spans="1:38">
      <c r="B21" s="24" t="s">
        <v>107</v>
      </c>
      <c r="C21">
        <v>9386</v>
      </c>
      <c r="D21">
        <v>4389</v>
      </c>
      <c r="E21">
        <v>3726</v>
      </c>
      <c r="F21">
        <v>745</v>
      </c>
      <c r="H21" s="24"/>
      <c r="I21">
        <v>11172</v>
      </c>
      <c r="J21">
        <v>3024</v>
      </c>
      <c r="K21">
        <v>3210</v>
      </c>
      <c r="L21">
        <v>642</v>
      </c>
      <c r="O21" s="24" t="s">
        <v>107</v>
      </c>
      <c r="P21">
        <v>1291759.25</v>
      </c>
      <c r="Q21">
        <v>592098.875</v>
      </c>
      <c r="R21">
        <v>493984.25</v>
      </c>
      <c r="S21">
        <v>96602.1171875</v>
      </c>
      <c r="U21" s="24"/>
      <c r="V21">
        <v>1512374</v>
      </c>
      <c r="W21">
        <v>405861.90625</v>
      </c>
      <c r="X21">
        <v>424103.40625</v>
      </c>
      <c r="Y21">
        <v>83062.3515625</v>
      </c>
      <c r="AB21" s="24" t="s">
        <v>107</v>
      </c>
      <c r="AC21">
        <v>6052436</v>
      </c>
      <c r="AD21">
        <v>2532047.5</v>
      </c>
      <c r="AE21">
        <v>3058711</v>
      </c>
      <c r="AF21">
        <v>651647.25</v>
      </c>
      <c r="AH21" s="24"/>
      <c r="AI21">
        <v>7305479</v>
      </c>
      <c r="AJ21">
        <v>1832258.5</v>
      </c>
      <c r="AK21">
        <v>2020001</v>
      </c>
      <c r="AL21">
        <v>427661.4375</v>
      </c>
    </row>
    <row r="22" spans="1:38">
      <c r="B22" s="24" t="s">
        <v>108</v>
      </c>
      <c r="C22">
        <v>2135</v>
      </c>
      <c r="D22">
        <v>998</v>
      </c>
      <c r="E22">
        <v>848</v>
      </c>
      <c r="F22">
        <v>170</v>
      </c>
      <c r="H22" s="24"/>
      <c r="I22">
        <v>2540</v>
      </c>
      <c r="J22">
        <v>688</v>
      </c>
      <c r="K22">
        <v>730</v>
      </c>
      <c r="L22">
        <v>146</v>
      </c>
      <c r="O22" s="24" t="s">
        <v>108</v>
      </c>
      <c r="P22">
        <v>779222.5</v>
      </c>
      <c r="Q22">
        <v>358318.0625</v>
      </c>
      <c r="R22">
        <v>299315.6875</v>
      </c>
      <c r="S22">
        <v>58660.28125</v>
      </c>
      <c r="U22" s="24"/>
      <c r="V22">
        <v>915429.5</v>
      </c>
      <c r="W22">
        <v>245934.71875</v>
      </c>
      <c r="X22">
        <v>257152.40625</v>
      </c>
      <c r="Y22">
        <v>50413.03515625</v>
      </c>
      <c r="AB22" s="24" t="s">
        <v>108</v>
      </c>
      <c r="AC22">
        <v>4048325.25</v>
      </c>
      <c r="AD22">
        <v>1714620.75</v>
      </c>
      <c r="AE22">
        <v>1920946</v>
      </c>
      <c r="AF22">
        <v>403934.53125</v>
      </c>
      <c r="AH22" s="24"/>
      <c r="AI22">
        <v>4843401.5</v>
      </c>
      <c r="AJ22">
        <v>1213020.5</v>
      </c>
      <c r="AK22">
        <v>1295802.75</v>
      </c>
      <c r="AL22">
        <v>273045.71875</v>
      </c>
    </row>
    <row r="23" spans="1:38">
      <c r="B23" s="24" t="s">
        <v>109</v>
      </c>
      <c r="C23">
        <v>434</v>
      </c>
      <c r="D23">
        <v>203</v>
      </c>
      <c r="E23">
        <v>172</v>
      </c>
      <c r="F23">
        <v>34</v>
      </c>
      <c r="H23" s="24"/>
      <c r="I23">
        <v>517</v>
      </c>
      <c r="J23">
        <v>140</v>
      </c>
      <c r="K23">
        <v>149</v>
      </c>
      <c r="L23">
        <v>30</v>
      </c>
      <c r="O23" s="24" t="s">
        <v>109</v>
      </c>
      <c r="P23">
        <v>1077474.25</v>
      </c>
      <c r="Q23">
        <v>497928.5625</v>
      </c>
      <c r="R23">
        <v>417408.21875</v>
      </c>
      <c r="S23">
        <v>82005.4765625</v>
      </c>
      <c r="U23" s="24"/>
      <c r="V23">
        <v>1272490.75</v>
      </c>
      <c r="W23">
        <v>342563.4375</v>
      </c>
      <c r="X23">
        <v>359319.5</v>
      </c>
      <c r="Y23">
        <v>70867.75</v>
      </c>
      <c r="AB23" s="24" t="s">
        <v>109</v>
      </c>
      <c r="AC23">
        <v>7408260.5</v>
      </c>
      <c r="AD23">
        <v>3203607.5</v>
      </c>
      <c r="AE23">
        <v>3125285.25</v>
      </c>
      <c r="AF23">
        <v>640882.9375</v>
      </c>
      <c r="AH23" s="24"/>
      <c r="AI23">
        <v>8680879</v>
      </c>
      <c r="AJ23">
        <v>2186182.5</v>
      </c>
      <c r="AK23">
        <v>2261430</v>
      </c>
      <c r="AL23">
        <v>469095.03125</v>
      </c>
    </row>
    <row r="25" spans="1:38" ht="18.600000000000001" thickBot="1">
      <c r="A25" s="25" t="s">
        <v>126</v>
      </c>
      <c r="B25" s="26" t="s">
        <v>110</v>
      </c>
      <c r="C25" s="13" t="s">
        <v>121</v>
      </c>
      <c r="D25" s="27" t="s">
        <v>122</v>
      </c>
      <c r="E25" s="27" t="s">
        <v>113</v>
      </c>
      <c r="F25" s="27" t="s">
        <v>123</v>
      </c>
      <c r="H25" s="26" t="s">
        <v>111</v>
      </c>
      <c r="I25" s="13" t="s">
        <v>121</v>
      </c>
      <c r="J25" s="27" t="s">
        <v>122</v>
      </c>
      <c r="K25" s="27" t="s">
        <v>113</v>
      </c>
      <c r="L25" s="27" t="s">
        <v>123</v>
      </c>
      <c r="N25" s="25" t="s">
        <v>126</v>
      </c>
      <c r="O25" s="26" t="s">
        <v>110</v>
      </c>
      <c r="P25" s="27" t="s">
        <v>121</v>
      </c>
      <c r="Q25" s="27" t="s">
        <v>122</v>
      </c>
      <c r="R25" s="27" t="s">
        <v>113</v>
      </c>
      <c r="S25" s="27" t="s">
        <v>123</v>
      </c>
      <c r="U25" s="26" t="s">
        <v>111</v>
      </c>
      <c r="V25" s="27" t="s">
        <v>121</v>
      </c>
      <c r="W25" s="27" t="s">
        <v>122</v>
      </c>
      <c r="X25" s="27" t="s">
        <v>113</v>
      </c>
      <c r="Y25" s="27" t="s">
        <v>123</v>
      </c>
      <c r="AA25" s="25" t="s">
        <v>126</v>
      </c>
      <c r="AB25" s="26" t="s">
        <v>110</v>
      </c>
      <c r="AC25" s="27" t="s">
        <v>121</v>
      </c>
      <c r="AD25" s="27" t="s">
        <v>122</v>
      </c>
      <c r="AE25" s="27" t="s">
        <v>113</v>
      </c>
      <c r="AF25" s="27" t="s">
        <v>123</v>
      </c>
      <c r="AH25" s="26" t="s">
        <v>111</v>
      </c>
      <c r="AI25" s="27" t="s">
        <v>121</v>
      </c>
      <c r="AJ25" s="27" t="s">
        <v>122</v>
      </c>
      <c r="AK25" s="27" t="s">
        <v>113</v>
      </c>
      <c r="AL25" s="27" t="s">
        <v>123</v>
      </c>
    </row>
    <row r="26" spans="1:38" ht="15" thickBot="1">
      <c r="B26" t="s">
        <v>124</v>
      </c>
      <c r="C26" s="30">
        <v>25896220</v>
      </c>
      <c r="D26">
        <v>1</v>
      </c>
      <c r="E26">
        <v>1</v>
      </c>
      <c r="F26">
        <v>1</v>
      </c>
      <c r="I26" s="30">
        <v>25615000</v>
      </c>
      <c r="J26">
        <v>1</v>
      </c>
      <c r="K26">
        <v>1</v>
      </c>
      <c r="L26">
        <v>1</v>
      </c>
      <c r="O26" s="24" t="s">
        <v>124</v>
      </c>
      <c r="P26">
        <v>52318904</v>
      </c>
      <c r="Q26">
        <v>0</v>
      </c>
      <c r="R26">
        <v>0</v>
      </c>
      <c r="S26">
        <v>0</v>
      </c>
      <c r="U26" s="24"/>
      <c r="V26">
        <v>49281904</v>
      </c>
      <c r="W26">
        <v>0</v>
      </c>
      <c r="X26">
        <v>0</v>
      </c>
      <c r="Y26">
        <v>0</v>
      </c>
      <c r="AB26" s="24" t="s">
        <v>124</v>
      </c>
      <c r="AC26">
        <v>81164192</v>
      </c>
      <c r="AD26">
        <v>0</v>
      </c>
      <c r="AE26">
        <v>0</v>
      </c>
      <c r="AF26">
        <v>0</v>
      </c>
      <c r="AH26" s="24"/>
      <c r="AI26">
        <v>76523000</v>
      </c>
      <c r="AJ26">
        <v>0</v>
      </c>
      <c r="AK26">
        <v>0</v>
      </c>
      <c r="AL26">
        <v>0</v>
      </c>
    </row>
    <row r="27" spans="1:38">
      <c r="B27" s="24" t="s">
        <v>125</v>
      </c>
      <c r="C27">
        <v>22558010</v>
      </c>
      <c r="D27">
        <v>1</v>
      </c>
      <c r="E27">
        <v>1</v>
      </c>
      <c r="F27">
        <v>1</v>
      </c>
      <c r="H27" s="24"/>
      <c r="I27">
        <v>22313041</v>
      </c>
      <c r="J27">
        <v>1</v>
      </c>
      <c r="K27">
        <v>1</v>
      </c>
      <c r="L27">
        <v>1</v>
      </c>
      <c r="O27" s="24" t="s">
        <v>125</v>
      </c>
      <c r="P27">
        <v>45171084</v>
      </c>
      <c r="Q27">
        <v>0</v>
      </c>
      <c r="R27">
        <v>0</v>
      </c>
      <c r="S27">
        <v>0</v>
      </c>
      <c r="U27" s="24"/>
      <c r="V27">
        <v>42548684</v>
      </c>
      <c r="W27">
        <v>0</v>
      </c>
      <c r="X27">
        <v>0</v>
      </c>
      <c r="Y27">
        <v>0</v>
      </c>
      <c r="AB27" s="24" t="s">
        <v>125</v>
      </c>
      <c r="AC27">
        <v>77542208</v>
      </c>
      <c r="AD27">
        <v>0</v>
      </c>
      <c r="AE27">
        <v>0</v>
      </c>
      <c r="AF27">
        <v>0</v>
      </c>
      <c r="AH27" s="24"/>
      <c r="AI27">
        <v>73107832</v>
      </c>
      <c r="AJ27">
        <v>0</v>
      </c>
      <c r="AK27">
        <v>0</v>
      </c>
      <c r="AL27">
        <v>0</v>
      </c>
    </row>
    <row r="28" spans="1:38">
      <c r="B28" s="24" t="s">
        <v>91</v>
      </c>
      <c r="C28">
        <v>15217031</v>
      </c>
      <c r="D28">
        <v>4818591</v>
      </c>
      <c r="E28">
        <v>1</v>
      </c>
      <c r="F28">
        <v>1</v>
      </c>
      <c r="H28" s="24"/>
      <c r="I28">
        <v>16497434</v>
      </c>
      <c r="J28">
        <v>3320613</v>
      </c>
      <c r="K28">
        <v>1</v>
      </c>
      <c r="L28">
        <v>1</v>
      </c>
      <c r="O28" s="24" t="s">
        <v>91</v>
      </c>
      <c r="P28">
        <v>31649822</v>
      </c>
      <c r="Q28">
        <v>0</v>
      </c>
      <c r="R28">
        <v>0</v>
      </c>
      <c r="S28">
        <v>0</v>
      </c>
      <c r="U28" s="24"/>
      <c r="V28">
        <v>30557368</v>
      </c>
      <c r="W28">
        <v>6075527</v>
      </c>
      <c r="X28">
        <v>0</v>
      </c>
      <c r="Y28">
        <v>0</v>
      </c>
      <c r="AB28" s="24" t="s">
        <v>91</v>
      </c>
      <c r="AC28">
        <v>62723772</v>
      </c>
      <c r="AD28">
        <v>10577235</v>
      </c>
      <c r="AE28">
        <v>0</v>
      </c>
      <c r="AF28">
        <v>0</v>
      </c>
      <c r="AH28" s="24"/>
      <c r="AI28">
        <v>58215108</v>
      </c>
      <c r="AJ28">
        <v>10929773</v>
      </c>
      <c r="AK28">
        <v>0</v>
      </c>
      <c r="AL28">
        <v>0</v>
      </c>
    </row>
    <row r="29" spans="1:38">
      <c r="B29" s="24" t="s">
        <v>92</v>
      </c>
      <c r="C29">
        <v>10349758</v>
      </c>
      <c r="D29">
        <v>4279787</v>
      </c>
      <c r="E29">
        <v>3634218</v>
      </c>
      <c r="F29">
        <v>1</v>
      </c>
      <c r="H29" s="24"/>
      <c r="I29">
        <v>11925736</v>
      </c>
      <c r="J29">
        <v>2949310</v>
      </c>
      <c r="K29">
        <v>3130540</v>
      </c>
      <c r="L29">
        <v>1</v>
      </c>
      <c r="O29" s="24" t="s">
        <v>92</v>
      </c>
      <c r="P29">
        <v>18923116</v>
      </c>
      <c r="Q29">
        <v>7114156.5</v>
      </c>
      <c r="R29">
        <v>9453003</v>
      </c>
      <c r="S29">
        <v>0</v>
      </c>
      <c r="U29" s="24"/>
      <c r="V29">
        <v>22613320</v>
      </c>
      <c r="W29">
        <v>5265702.5</v>
      </c>
      <c r="X29">
        <v>5374499.5</v>
      </c>
      <c r="Y29">
        <v>0</v>
      </c>
      <c r="AB29" s="24" t="s">
        <v>92</v>
      </c>
      <c r="AC29">
        <v>26455004</v>
      </c>
      <c r="AD29">
        <v>9904904</v>
      </c>
      <c r="AE29">
        <v>33852012</v>
      </c>
      <c r="AF29">
        <v>0</v>
      </c>
      <c r="AH29" s="24"/>
      <c r="AI29">
        <v>22841446</v>
      </c>
      <c r="AJ29">
        <v>10179428</v>
      </c>
      <c r="AK29">
        <v>32967398</v>
      </c>
      <c r="AL29">
        <v>0</v>
      </c>
    </row>
    <row r="30" spans="1:38">
      <c r="B30" s="24" t="s">
        <v>93</v>
      </c>
      <c r="C30">
        <v>7974363</v>
      </c>
      <c r="D30">
        <v>3728091</v>
      </c>
      <c r="E30">
        <v>3165741</v>
      </c>
      <c r="F30">
        <v>633148</v>
      </c>
      <c r="H30" s="24"/>
      <c r="I30">
        <v>9491495</v>
      </c>
      <c r="J30">
        <v>2569123</v>
      </c>
      <c r="K30">
        <v>2726991</v>
      </c>
      <c r="L30">
        <v>545398</v>
      </c>
      <c r="O30" s="24" t="s">
        <v>93</v>
      </c>
      <c r="P30">
        <v>15866008</v>
      </c>
      <c r="Q30">
        <v>6905866.5</v>
      </c>
      <c r="R30">
        <v>7160429.5</v>
      </c>
      <c r="S30">
        <v>1450439</v>
      </c>
      <c r="U30" s="24"/>
      <c r="V30">
        <v>19337650</v>
      </c>
      <c r="W30">
        <v>4683119.5</v>
      </c>
      <c r="X30">
        <v>4571380</v>
      </c>
      <c r="Y30">
        <v>1000580.0625</v>
      </c>
      <c r="AB30" s="24" t="s">
        <v>93</v>
      </c>
      <c r="AC30">
        <v>16273170</v>
      </c>
      <c r="AD30">
        <v>9144288</v>
      </c>
      <c r="AE30">
        <v>29965954</v>
      </c>
      <c r="AF30">
        <v>9083261</v>
      </c>
      <c r="AH30" s="24"/>
      <c r="AI30">
        <v>14684408</v>
      </c>
      <c r="AJ30">
        <v>9273250</v>
      </c>
      <c r="AK30">
        <v>28616096</v>
      </c>
      <c r="AL30">
        <v>7906553</v>
      </c>
    </row>
    <row r="31" spans="1:38">
      <c r="B31" s="24" t="s">
        <v>94</v>
      </c>
      <c r="C31">
        <v>6793579</v>
      </c>
      <c r="D31">
        <v>3176064</v>
      </c>
      <c r="E31">
        <v>2696982</v>
      </c>
      <c r="F31">
        <v>539397</v>
      </c>
      <c r="H31" s="24"/>
      <c r="I31">
        <v>8086067</v>
      </c>
      <c r="J31">
        <v>2188706</v>
      </c>
      <c r="K31">
        <v>2323198</v>
      </c>
      <c r="L31">
        <v>464640</v>
      </c>
      <c r="O31" s="24" t="s">
        <v>94</v>
      </c>
      <c r="P31">
        <v>14645094</v>
      </c>
      <c r="Q31">
        <v>6513344.5</v>
      </c>
      <c r="R31">
        <v>5924866.5</v>
      </c>
      <c r="S31">
        <v>1205028.125</v>
      </c>
      <c r="U31" s="24"/>
      <c r="V31">
        <v>17350764</v>
      </c>
      <c r="W31">
        <v>4225734</v>
      </c>
      <c r="X31">
        <v>4190492</v>
      </c>
      <c r="Y31">
        <v>897916.0625</v>
      </c>
      <c r="AB31" s="24" t="s">
        <v>94</v>
      </c>
      <c r="AC31">
        <v>16558272</v>
      </c>
      <c r="AD31">
        <v>8371300.5</v>
      </c>
      <c r="AE31">
        <v>27128422</v>
      </c>
      <c r="AF31">
        <v>7953877.5</v>
      </c>
      <c r="AH31" s="24"/>
      <c r="AI31">
        <v>16051242</v>
      </c>
      <c r="AJ31">
        <v>8336109</v>
      </c>
      <c r="AK31">
        <v>25251946</v>
      </c>
      <c r="AL31">
        <v>6735870</v>
      </c>
    </row>
    <row r="32" spans="1:38">
      <c r="B32" s="24" t="s">
        <v>95</v>
      </c>
      <c r="C32">
        <v>5787638</v>
      </c>
      <c r="D32">
        <v>2705776</v>
      </c>
      <c r="E32">
        <v>2297633</v>
      </c>
      <c r="F32">
        <v>459527</v>
      </c>
      <c r="H32" s="24"/>
      <c r="I32">
        <v>6888743</v>
      </c>
      <c r="J32">
        <v>1864619</v>
      </c>
      <c r="K32">
        <v>1979197</v>
      </c>
      <c r="L32">
        <v>395839</v>
      </c>
      <c r="O32" s="24" t="s">
        <v>95</v>
      </c>
      <c r="P32">
        <v>13441490</v>
      </c>
      <c r="Q32">
        <v>5990541</v>
      </c>
      <c r="R32">
        <v>5056241.5</v>
      </c>
      <c r="S32">
        <v>1030142.75</v>
      </c>
      <c r="U32" s="24"/>
      <c r="V32">
        <v>15569832</v>
      </c>
      <c r="W32">
        <v>3837186</v>
      </c>
      <c r="X32">
        <v>3848304.75</v>
      </c>
      <c r="Y32">
        <v>806817.9375</v>
      </c>
      <c r="AB32" s="24" t="s">
        <v>95</v>
      </c>
      <c r="AC32">
        <v>16657153</v>
      </c>
      <c r="AD32">
        <v>7647563.5</v>
      </c>
      <c r="AE32">
        <v>24291316</v>
      </c>
      <c r="AF32">
        <v>6894677.5</v>
      </c>
      <c r="AH32" s="24"/>
      <c r="AI32">
        <v>17170836</v>
      </c>
      <c r="AJ32">
        <v>7455400</v>
      </c>
      <c r="AK32">
        <v>21923088</v>
      </c>
      <c r="AL32">
        <v>5654265.5</v>
      </c>
    </row>
    <row r="33" spans="1:38">
      <c r="B33" s="24" t="s">
        <v>96</v>
      </c>
      <c r="C33">
        <v>4807200</v>
      </c>
      <c r="D33">
        <v>2247412</v>
      </c>
      <c r="E33">
        <v>1908409</v>
      </c>
      <c r="F33">
        <v>381682</v>
      </c>
      <c r="H33" s="24"/>
      <c r="I33">
        <v>5721777</v>
      </c>
      <c r="J33">
        <v>1548749</v>
      </c>
      <c r="K33">
        <v>1643917</v>
      </c>
      <c r="L33">
        <v>328783</v>
      </c>
      <c r="O33" s="24" t="s">
        <v>96</v>
      </c>
      <c r="P33">
        <v>12261565</v>
      </c>
      <c r="Q33">
        <v>5427001.5</v>
      </c>
      <c r="R33">
        <v>4439136.5</v>
      </c>
      <c r="S33">
        <v>900035.3125</v>
      </c>
      <c r="U33" s="24"/>
      <c r="V33">
        <v>13983735</v>
      </c>
      <c r="W33">
        <v>3491747.25</v>
      </c>
      <c r="X33">
        <v>3534386.75</v>
      </c>
      <c r="Y33">
        <v>726680.6875</v>
      </c>
      <c r="AB33" s="24" t="s">
        <v>96</v>
      </c>
      <c r="AC33">
        <v>16528350</v>
      </c>
      <c r="AD33">
        <v>7014150</v>
      </c>
      <c r="AE33">
        <v>21530344</v>
      </c>
      <c r="AF33">
        <v>5918920</v>
      </c>
      <c r="AH33" s="24"/>
      <c r="AI33">
        <v>17924882</v>
      </c>
      <c r="AJ33">
        <v>6688825.5</v>
      </c>
      <c r="AK33">
        <v>18747760</v>
      </c>
      <c r="AL33">
        <v>4680160.5</v>
      </c>
    </row>
    <row r="34" spans="1:38">
      <c r="B34" s="24" t="s">
        <v>97</v>
      </c>
      <c r="C34">
        <v>3879705</v>
      </c>
      <c r="D34">
        <v>1813799</v>
      </c>
      <c r="E34">
        <v>1540203</v>
      </c>
      <c r="F34">
        <v>308041</v>
      </c>
      <c r="H34" s="24"/>
      <c r="I34">
        <v>4617825</v>
      </c>
      <c r="J34">
        <v>1249935</v>
      </c>
      <c r="K34">
        <v>1326742</v>
      </c>
      <c r="L34">
        <v>265348</v>
      </c>
      <c r="O34" s="24" t="s">
        <v>97</v>
      </c>
      <c r="P34">
        <v>11122698</v>
      </c>
      <c r="Q34">
        <v>4888589.5</v>
      </c>
      <c r="R34">
        <v>3972063.25</v>
      </c>
      <c r="S34">
        <v>798079.875</v>
      </c>
      <c r="U34" s="24"/>
      <c r="V34">
        <v>12572466</v>
      </c>
      <c r="W34">
        <v>3179885.75</v>
      </c>
      <c r="X34">
        <v>3244714.5</v>
      </c>
      <c r="Y34">
        <v>656708.625</v>
      </c>
      <c r="AB34" s="24" t="s">
        <v>97</v>
      </c>
      <c r="AC34">
        <v>16177564</v>
      </c>
      <c r="AD34">
        <v>6484979.5</v>
      </c>
      <c r="AE34">
        <v>18897210</v>
      </c>
      <c r="AF34">
        <v>5033856.5</v>
      </c>
      <c r="AH34" s="24"/>
      <c r="AI34">
        <v>18279842</v>
      </c>
      <c r="AJ34">
        <v>6052779</v>
      </c>
      <c r="AK34">
        <v>15803621</v>
      </c>
      <c r="AL34">
        <v>3823364.5</v>
      </c>
    </row>
    <row r="35" spans="1:38">
      <c r="B35" s="24" t="s">
        <v>98</v>
      </c>
      <c r="C35">
        <v>3031335</v>
      </c>
      <c r="D35">
        <v>1417178</v>
      </c>
      <c r="E35">
        <v>1203409</v>
      </c>
      <c r="F35">
        <v>240682</v>
      </c>
      <c r="H35" s="24"/>
      <c r="I35">
        <v>3608051</v>
      </c>
      <c r="J35">
        <v>976614</v>
      </c>
      <c r="K35">
        <v>1036625</v>
      </c>
      <c r="L35">
        <v>207325</v>
      </c>
      <c r="O35" s="24" t="s">
        <v>98</v>
      </c>
      <c r="P35">
        <v>9559121</v>
      </c>
      <c r="Q35">
        <v>4190214.75</v>
      </c>
      <c r="R35">
        <v>3415701.25</v>
      </c>
      <c r="S35">
        <v>680122</v>
      </c>
      <c r="U35" s="24"/>
      <c r="V35">
        <v>10770076</v>
      </c>
      <c r="W35">
        <v>2755908.75</v>
      </c>
      <c r="X35">
        <v>2830863.5</v>
      </c>
      <c r="Y35">
        <v>566569.625</v>
      </c>
      <c r="AB35" s="24" t="s">
        <v>98</v>
      </c>
      <c r="AC35">
        <v>15115413</v>
      </c>
      <c r="AD35">
        <v>5851639</v>
      </c>
      <c r="AE35">
        <v>15923475</v>
      </c>
      <c r="AF35">
        <v>4114003.25</v>
      </c>
      <c r="AH35" s="24"/>
      <c r="AI35">
        <v>17595760</v>
      </c>
      <c r="AJ35">
        <v>5339824</v>
      </c>
      <c r="AK35">
        <v>12729283</v>
      </c>
      <c r="AL35">
        <v>2989998.5</v>
      </c>
    </row>
    <row r="36" spans="1:38">
      <c r="B36" s="24" t="s">
        <v>99</v>
      </c>
      <c r="C36">
        <v>2284083</v>
      </c>
      <c r="D36">
        <v>1067831</v>
      </c>
      <c r="E36">
        <v>906758</v>
      </c>
      <c r="F36">
        <v>181352</v>
      </c>
      <c r="H36" s="24"/>
      <c r="I36">
        <v>2718633</v>
      </c>
      <c r="J36">
        <v>735869</v>
      </c>
      <c r="K36">
        <v>781087</v>
      </c>
      <c r="L36">
        <v>156217</v>
      </c>
      <c r="O36" s="24" t="s">
        <v>99</v>
      </c>
      <c r="P36">
        <v>8160800.5</v>
      </c>
      <c r="Q36">
        <v>3584575.5</v>
      </c>
      <c r="R36">
        <v>2938902.75</v>
      </c>
      <c r="S36">
        <v>580889.4375</v>
      </c>
      <c r="U36" s="24"/>
      <c r="V36">
        <v>9202754</v>
      </c>
      <c r="W36">
        <v>2380466.25</v>
      </c>
      <c r="X36">
        <v>2458743</v>
      </c>
      <c r="Y36">
        <v>488243.65625</v>
      </c>
      <c r="AB36" s="24" t="s">
        <v>99</v>
      </c>
      <c r="AC36">
        <v>13994341</v>
      </c>
      <c r="AD36">
        <v>5328803</v>
      </c>
      <c r="AE36">
        <v>13324850</v>
      </c>
      <c r="AF36">
        <v>3342091.5</v>
      </c>
      <c r="AH36" s="24"/>
      <c r="AI36">
        <v>16693345</v>
      </c>
      <c r="AJ36">
        <v>4760068.5</v>
      </c>
      <c r="AK36">
        <v>10181973</v>
      </c>
      <c r="AL36">
        <v>2330311</v>
      </c>
    </row>
    <row r="37" spans="1:38">
      <c r="B37" s="24" t="s">
        <v>100</v>
      </c>
      <c r="C37">
        <v>1652989</v>
      </c>
      <c r="D37">
        <v>772788</v>
      </c>
      <c r="E37">
        <v>656220</v>
      </c>
      <c r="F37">
        <v>131244</v>
      </c>
      <c r="H37" s="24"/>
      <c r="I37">
        <v>1967473</v>
      </c>
      <c r="J37">
        <v>532548</v>
      </c>
      <c r="K37">
        <v>565272</v>
      </c>
      <c r="L37">
        <v>113054</v>
      </c>
      <c r="O37" s="24" t="s">
        <v>100</v>
      </c>
      <c r="P37">
        <v>6925989.5</v>
      </c>
      <c r="Q37">
        <v>3059361.5</v>
      </c>
      <c r="R37">
        <v>2521788.25</v>
      </c>
      <c r="S37">
        <v>495843.75</v>
      </c>
      <c r="U37" s="24"/>
      <c r="V37">
        <v>7840811.5</v>
      </c>
      <c r="W37">
        <v>2047989.5</v>
      </c>
      <c r="X37">
        <v>2124416.25</v>
      </c>
      <c r="Y37">
        <v>419587.375</v>
      </c>
      <c r="AB37" s="24" t="s">
        <v>100</v>
      </c>
      <c r="AC37">
        <v>12836161</v>
      </c>
      <c r="AD37">
        <v>4878750</v>
      </c>
      <c r="AE37">
        <v>11056959</v>
      </c>
      <c r="AF37">
        <v>2694165.5</v>
      </c>
      <c r="AH37" s="24"/>
      <c r="AI37">
        <v>15582456</v>
      </c>
      <c r="AJ37">
        <v>4254736</v>
      </c>
      <c r="AK37">
        <v>8076913</v>
      </c>
      <c r="AL37">
        <v>1807676.75</v>
      </c>
    </row>
    <row r="38" spans="1:38">
      <c r="B38" s="24" t="s">
        <v>101</v>
      </c>
      <c r="C38">
        <v>1089811</v>
      </c>
      <c r="D38">
        <v>509497</v>
      </c>
      <c r="E38">
        <v>432644</v>
      </c>
      <c r="F38">
        <v>86529</v>
      </c>
      <c r="H38" s="24"/>
      <c r="I38">
        <v>1297149</v>
      </c>
      <c r="J38">
        <v>351107</v>
      </c>
      <c r="K38">
        <v>372682</v>
      </c>
      <c r="L38">
        <v>74536</v>
      </c>
      <c r="O38" s="24" t="s">
        <v>101</v>
      </c>
      <c r="P38">
        <v>5835412</v>
      </c>
      <c r="Q38">
        <v>2597228.25</v>
      </c>
      <c r="R38">
        <v>2149759.25</v>
      </c>
      <c r="S38">
        <v>421259.15625</v>
      </c>
      <c r="U38" s="24"/>
      <c r="V38">
        <v>6644940</v>
      </c>
      <c r="W38">
        <v>1750116.25</v>
      </c>
      <c r="X38">
        <v>1820970.875</v>
      </c>
      <c r="Y38">
        <v>358315.40625</v>
      </c>
      <c r="AB38" s="24" t="s">
        <v>101</v>
      </c>
      <c r="AC38">
        <v>11668986</v>
      </c>
      <c r="AD38">
        <v>4475486</v>
      </c>
      <c r="AE38">
        <v>9096456</v>
      </c>
      <c r="AF38">
        <v>2155208.75</v>
      </c>
      <c r="AH38" s="24"/>
      <c r="AI38">
        <v>14321152</v>
      </c>
      <c r="AJ38">
        <v>3795579.75</v>
      </c>
      <c r="AK38">
        <v>6374513.5</v>
      </c>
      <c r="AL38">
        <v>1401150.25</v>
      </c>
    </row>
    <row r="39" spans="1:38">
      <c r="B39" s="24" t="s">
        <v>102</v>
      </c>
      <c r="C39">
        <v>576816</v>
      </c>
      <c r="D39">
        <v>269667</v>
      </c>
      <c r="E39">
        <v>228990</v>
      </c>
      <c r="F39">
        <v>45798</v>
      </c>
      <c r="H39" s="24"/>
      <c r="I39">
        <v>686556</v>
      </c>
      <c r="J39">
        <v>185834</v>
      </c>
      <c r="K39">
        <v>197254</v>
      </c>
      <c r="L39">
        <v>39451</v>
      </c>
      <c r="O39" s="24" t="s">
        <v>102</v>
      </c>
      <c r="P39">
        <v>3970118</v>
      </c>
      <c r="Q39">
        <v>1778780.75</v>
      </c>
      <c r="R39">
        <v>1476091.5</v>
      </c>
      <c r="S39">
        <v>288732.5625</v>
      </c>
      <c r="U39" s="24"/>
      <c r="V39">
        <v>4545887</v>
      </c>
      <c r="W39">
        <v>1204106.625</v>
      </c>
      <c r="X39">
        <v>1255031.5</v>
      </c>
      <c r="Y39">
        <v>246409.828125</v>
      </c>
      <c r="AB39" s="24" t="s">
        <v>102</v>
      </c>
      <c r="AC39">
        <v>8815672</v>
      </c>
      <c r="AD39">
        <v>3425711.25</v>
      </c>
      <c r="AE39">
        <v>6316702</v>
      </c>
      <c r="AF39">
        <v>1462432.125</v>
      </c>
      <c r="AH39" s="24"/>
      <c r="AI39">
        <v>10870615</v>
      </c>
      <c r="AJ39">
        <v>2829696.75</v>
      </c>
      <c r="AK39">
        <v>4295010.5</v>
      </c>
      <c r="AL39">
        <v>932663.375</v>
      </c>
    </row>
    <row r="40" spans="1:38">
      <c r="B40" s="24" t="s">
        <v>103</v>
      </c>
      <c r="C40">
        <v>262426</v>
      </c>
      <c r="D40">
        <v>122687</v>
      </c>
      <c r="E40">
        <v>104180</v>
      </c>
      <c r="F40">
        <v>20836</v>
      </c>
      <c r="H40" s="24"/>
      <c r="I40">
        <v>312353</v>
      </c>
      <c r="J40">
        <v>84547</v>
      </c>
      <c r="K40">
        <v>89742</v>
      </c>
      <c r="L40">
        <v>17948</v>
      </c>
      <c r="O40" s="24" t="s">
        <v>103</v>
      </c>
      <c r="P40">
        <v>2611359.25</v>
      </c>
      <c r="Q40">
        <v>1177396.875</v>
      </c>
      <c r="R40">
        <v>978856.25</v>
      </c>
      <c r="S40">
        <v>191281.421875</v>
      </c>
      <c r="U40" s="24"/>
      <c r="V40">
        <v>3006911.5</v>
      </c>
      <c r="W40">
        <v>800052.9375</v>
      </c>
      <c r="X40">
        <v>834815.4375</v>
      </c>
      <c r="Y40">
        <v>163655.703125</v>
      </c>
      <c r="AB40" s="24" t="s">
        <v>103</v>
      </c>
      <c r="AC40">
        <v>6474230.5</v>
      </c>
      <c r="AD40">
        <v>2556483.25</v>
      </c>
      <c r="AE40">
        <v>4272643</v>
      </c>
      <c r="AF40">
        <v>967948.75</v>
      </c>
      <c r="AH40" s="24"/>
      <c r="AI40">
        <v>7984190.5</v>
      </c>
      <c r="AJ40">
        <v>2051508.75</v>
      </c>
      <c r="AK40">
        <v>2839222.75</v>
      </c>
      <c r="AL40">
        <v>610929.625</v>
      </c>
    </row>
    <row r="41" spans="1:38">
      <c r="B41" s="24" t="s">
        <v>104</v>
      </c>
      <c r="C41">
        <v>101126</v>
      </c>
      <c r="D41">
        <v>47277</v>
      </c>
      <c r="E41">
        <v>40146</v>
      </c>
      <c r="F41">
        <v>8029</v>
      </c>
      <c r="H41" s="24"/>
      <c r="I41">
        <v>120366</v>
      </c>
      <c r="J41">
        <v>32580</v>
      </c>
      <c r="K41">
        <v>34582</v>
      </c>
      <c r="L41">
        <v>6916</v>
      </c>
      <c r="O41" s="24" t="s">
        <v>104</v>
      </c>
      <c r="P41">
        <v>1653591.5</v>
      </c>
      <c r="Q41">
        <v>749793.375</v>
      </c>
      <c r="R41">
        <v>624227.25</v>
      </c>
      <c r="S41">
        <v>121941.796875</v>
      </c>
      <c r="U41" s="24"/>
      <c r="V41">
        <v>1914340.75</v>
      </c>
      <c r="W41">
        <v>511100.5625</v>
      </c>
      <c r="X41">
        <v>533686.4375</v>
      </c>
      <c r="Y41">
        <v>104529.359375</v>
      </c>
      <c r="AB41" s="24" t="s">
        <v>104</v>
      </c>
      <c r="AC41">
        <v>4618961</v>
      </c>
      <c r="AD41">
        <v>1855626.75</v>
      </c>
      <c r="AE41">
        <v>2815364.75</v>
      </c>
      <c r="AF41">
        <v>625232.0625</v>
      </c>
      <c r="AH41" s="24"/>
      <c r="AI41">
        <v>5681345.5</v>
      </c>
      <c r="AJ41">
        <v>1446394.75</v>
      </c>
      <c r="AK41">
        <v>1847329.625</v>
      </c>
      <c r="AL41">
        <v>395005.28125</v>
      </c>
    </row>
    <row r="42" spans="1:38">
      <c r="B42" s="24" t="s">
        <v>105</v>
      </c>
      <c r="C42">
        <v>35726</v>
      </c>
      <c r="D42">
        <v>16702</v>
      </c>
      <c r="E42">
        <v>14183</v>
      </c>
      <c r="F42">
        <v>2837</v>
      </c>
      <c r="H42" s="24"/>
      <c r="I42">
        <v>42523</v>
      </c>
      <c r="J42">
        <v>11510</v>
      </c>
      <c r="K42">
        <v>12217</v>
      </c>
      <c r="L42">
        <v>2443</v>
      </c>
      <c r="O42" s="24" t="s">
        <v>105</v>
      </c>
      <c r="P42">
        <v>1011858.375</v>
      </c>
      <c r="Q42">
        <v>461070.96875</v>
      </c>
      <c r="R42">
        <v>384291.15625</v>
      </c>
      <c r="S42">
        <v>75097.0625</v>
      </c>
      <c r="U42" s="24"/>
      <c r="V42">
        <v>1177199.625</v>
      </c>
      <c r="W42">
        <v>315102.75</v>
      </c>
      <c r="X42">
        <v>329192.25</v>
      </c>
      <c r="Y42">
        <v>64458.69140625</v>
      </c>
      <c r="AB42" s="24" t="s">
        <v>105</v>
      </c>
      <c r="AC42">
        <v>3206818.5</v>
      </c>
      <c r="AD42">
        <v>1310397</v>
      </c>
      <c r="AE42">
        <v>1811648.375</v>
      </c>
      <c r="AF42">
        <v>395145.75</v>
      </c>
      <c r="AH42" s="24"/>
      <c r="AI42">
        <v>3923775.75</v>
      </c>
      <c r="AJ42">
        <v>992462.0625</v>
      </c>
      <c r="AK42">
        <v>1185898.875</v>
      </c>
      <c r="AL42">
        <v>252400.109375</v>
      </c>
    </row>
    <row r="43" spans="1:38">
      <c r="B43" s="24" t="s">
        <v>106</v>
      </c>
      <c r="C43">
        <v>9669</v>
      </c>
      <c r="D43">
        <v>4520</v>
      </c>
      <c r="E43">
        <v>3838</v>
      </c>
      <c r="F43">
        <v>768</v>
      </c>
      <c r="H43" s="24"/>
      <c r="I43">
        <v>11508</v>
      </c>
      <c r="J43">
        <v>3115</v>
      </c>
      <c r="K43">
        <v>3306</v>
      </c>
      <c r="L43">
        <v>661</v>
      </c>
      <c r="O43" s="24" t="s">
        <v>106</v>
      </c>
      <c r="P43">
        <v>586387.125</v>
      </c>
      <c r="Q43">
        <v>268309.59375</v>
      </c>
      <c r="R43">
        <v>223855.828125</v>
      </c>
      <c r="S43">
        <v>43791.2109375</v>
      </c>
      <c r="U43" s="24"/>
      <c r="V43">
        <v>685168.125</v>
      </c>
      <c r="W43">
        <v>183750.421875</v>
      </c>
      <c r="X43">
        <v>192050.84375</v>
      </c>
      <c r="Y43">
        <v>37618.46875</v>
      </c>
      <c r="AB43" s="24" t="s">
        <v>106</v>
      </c>
      <c r="AC43">
        <v>2147141</v>
      </c>
      <c r="AD43">
        <v>891289.6875</v>
      </c>
      <c r="AE43">
        <v>1129308.25</v>
      </c>
      <c r="AF43">
        <v>242411.5625</v>
      </c>
      <c r="AH43" s="24"/>
      <c r="AI43">
        <v>2608503.5</v>
      </c>
      <c r="AJ43">
        <v>656930.6875</v>
      </c>
      <c r="AK43">
        <v>744801.875</v>
      </c>
      <c r="AL43">
        <v>157894.671875</v>
      </c>
    </row>
    <row r="44" spans="1:38">
      <c r="B44" s="24" t="s">
        <v>107</v>
      </c>
      <c r="C44">
        <v>2617</v>
      </c>
      <c r="D44">
        <v>1223</v>
      </c>
      <c r="E44">
        <v>1039</v>
      </c>
      <c r="F44">
        <v>208</v>
      </c>
      <c r="H44" s="24"/>
      <c r="I44">
        <v>3115</v>
      </c>
      <c r="J44">
        <v>843</v>
      </c>
      <c r="K44">
        <v>895</v>
      </c>
      <c r="L44">
        <v>179</v>
      </c>
      <c r="O44" s="24" t="s">
        <v>107</v>
      </c>
      <c r="P44">
        <v>331428.6875</v>
      </c>
      <c r="Q44">
        <v>152163.90625</v>
      </c>
      <c r="R44">
        <v>127117.75</v>
      </c>
      <c r="S44">
        <v>24904.109375</v>
      </c>
      <c r="U44" s="24"/>
      <c r="V44">
        <v>388722.6875</v>
      </c>
      <c r="W44">
        <v>104389.59375</v>
      </c>
      <c r="X44">
        <v>109181.9765625</v>
      </c>
      <c r="Y44">
        <v>21408.751953125</v>
      </c>
      <c r="AB44" s="24" t="s">
        <v>107</v>
      </c>
      <c r="AC44">
        <v>1406720.75</v>
      </c>
      <c r="AD44">
        <v>592054.875</v>
      </c>
      <c r="AE44">
        <v>692733.375</v>
      </c>
      <c r="AF44">
        <v>146628.109375</v>
      </c>
      <c r="AH44" s="24"/>
      <c r="AI44">
        <v>1694936.75</v>
      </c>
      <c r="AJ44">
        <v>425788</v>
      </c>
      <c r="AK44">
        <v>464218.3125</v>
      </c>
      <c r="AL44">
        <v>98019.828125</v>
      </c>
    </row>
    <row r="45" spans="1:38">
      <c r="B45" s="24" t="s">
        <v>108</v>
      </c>
      <c r="C45">
        <v>595</v>
      </c>
      <c r="D45">
        <v>278</v>
      </c>
      <c r="E45">
        <v>236</v>
      </c>
      <c r="F45">
        <v>47</v>
      </c>
      <c r="H45" s="24"/>
      <c r="I45">
        <v>708</v>
      </c>
      <c r="J45">
        <v>192</v>
      </c>
      <c r="K45">
        <v>204</v>
      </c>
      <c r="L45">
        <v>41</v>
      </c>
      <c r="O45" s="24" t="s">
        <v>108</v>
      </c>
      <c r="P45">
        <v>179373.71875</v>
      </c>
      <c r="Q45">
        <v>82599.5078125</v>
      </c>
      <c r="R45">
        <v>69056.984375</v>
      </c>
      <c r="S45">
        <v>13525.044921875</v>
      </c>
      <c r="U45" s="24"/>
      <c r="V45">
        <v>211041.03125</v>
      </c>
      <c r="W45">
        <v>56765.91015625</v>
      </c>
      <c r="X45">
        <v>59436.0078125</v>
      </c>
      <c r="Y45">
        <v>11688.9267578125</v>
      </c>
      <c r="AB45" s="24" t="s">
        <v>108</v>
      </c>
      <c r="AC45">
        <v>894871.6875</v>
      </c>
      <c r="AD45">
        <v>381071.75</v>
      </c>
      <c r="AE45">
        <v>415212.96875</v>
      </c>
      <c r="AF45">
        <v>86747.7734375</v>
      </c>
      <c r="AH45" s="24"/>
      <c r="AI45">
        <v>1068823.5</v>
      </c>
      <c r="AJ45">
        <v>268340.375</v>
      </c>
      <c r="AK45">
        <v>284658.09375</v>
      </c>
      <c r="AL45">
        <v>59866.19921875</v>
      </c>
    </row>
    <row r="46" spans="1:38">
      <c r="B46" s="24" t="s">
        <v>109</v>
      </c>
      <c r="C46">
        <v>121</v>
      </c>
      <c r="D46">
        <v>57</v>
      </c>
      <c r="E46">
        <v>48</v>
      </c>
      <c r="F46">
        <v>10</v>
      </c>
      <c r="H46" s="24"/>
      <c r="I46">
        <v>144</v>
      </c>
      <c r="J46">
        <v>39</v>
      </c>
      <c r="K46">
        <v>41</v>
      </c>
      <c r="L46">
        <v>8</v>
      </c>
      <c r="O46" s="24" t="s">
        <v>109</v>
      </c>
      <c r="P46">
        <v>201581.796875</v>
      </c>
      <c r="Q46">
        <v>93461.828125</v>
      </c>
      <c r="R46">
        <v>78270.84375</v>
      </c>
      <c r="S46">
        <v>15604.4931640625</v>
      </c>
      <c r="U46" s="24"/>
      <c r="V46">
        <v>238266.453125</v>
      </c>
      <c r="W46">
        <v>64182.06640625</v>
      </c>
      <c r="X46">
        <v>67180.7265625</v>
      </c>
      <c r="Y46">
        <v>13165.04296875</v>
      </c>
      <c r="AB46" s="24" t="s">
        <v>109</v>
      </c>
      <c r="AC46">
        <v>1489312.5</v>
      </c>
      <c r="AD46">
        <v>647249.375</v>
      </c>
      <c r="AE46">
        <v>620114.5</v>
      </c>
      <c r="AF46">
        <v>127369.3203125</v>
      </c>
      <c r="AH46" s="24"/>
      <c r="AI46">
        <v>1743996.25</v>
      </c>
      <c r="AJ46">
        <v>440595.75</v>
      </c>
      <c r="AK46">
        <v>454522.09375</v>
      </c>
      <c r="AL46">
        <v>93754.1640625</v>
      </c>
    </row>
    <row r="48" spans="1:38" ht="18">
      <c r="A48" s="82" t="s">
        <v>414</v>
      </c>
      <c r="B48" s="82"/>
      <c r="C48" s="82"/>
      <c r="D48" s="82"/>
      <c r="E48" s="82"/>
      <c r="F48" s="82"/>
      <c r="G48" s="82"/>
      <c r="H48" s="82"/>
      <c r="I48" s="82"/>
      <c r="J48" s="82"/>
      <c r="K48" s="82"/>
      <c r="L48" s="82"/>
    </row>
    <row r="49" spans="1:25" ht="18">
      <c r="A49" s="25" t="s">
        <v>120</v>
      </c>
      <c r="B49" s="26" t="s">
        <v>110</v>
      </c>
      <c r="C49" s="27" t="s">
        <v>121</v>
      </c>
      <c r="D49" s="27" t="s">
        <v>122</v>
      </c>
      <c r="E49" s="27" t="s">
        <v>113</v>
      </c>
      <c r="F49" s="27" t="s">
        <v>123</v>
      </c>
      <c r="G49" s="27"/>
      <c r="H49" s="26" t="s">
        <v>111</v>
      </c>
      <c r="I49" s="75" t="s">
        <v>121</v>
      </c>
      <c r="J49" s="27" t="s">
        <v>122</v>
      </c>
      <c r="K49" s="27" t="s">
        <v>113</v>
      </c>
      <c r="L49" s="27" t="s">
        <v>123</v>
      </c>
      <c r="O49" t="s">
        <v>110</v>
      </c>
      <c r="P49" t="s">
        <v>121</v>
      </c>
      <c r="Q49" t="s">
        <v>122</v>
      </c>
      <c r="R49" t="s">
        <v>113</v>
      </c>
      <c r="S49" t="s">
        <v>123</v>
      </c>
      <c r="U49" t="s">
        <v>111</v>
      </c>
      <c r="V49" t="s">
        <v>121</v>
      </c>
      <c r="W49" t="s">
        <v>122</v>
      </c>
      <c r="X49" t="s">
        <v>113</v>
      </c>
      <c r="Y49" t="s">
        <v>123</v>
      </c>
    </row>
    <row r="50" spans="1:25">
      <c r="B50" s="24" t="s">
        <v>124</v>
      </c>
      <c r="C50" s="14">
        <f>P50/P285*C3*P73</f>
        <v>5597501.2599999998</v>
      </c>
      <c r="D50" s="14">
        <v>0</v>
      </c>
      <c r="E50" s="14">
        <v>0</v>
      </c>
      <c r="F50" s="14">
        <v>0</v>
      </c>
      <c r="G50" s="14"/>
      <c r="H50" s="76"/>
      <c r="I50" s="14">
        <f>V50/V285*I3*V73</f>
        <v>5474367.5399999991</v>
      </c>
      <c r="J50" s="14">
        <v>0</v>
      </c>
      <c r="K50" s="14">
        <v>0</v>
      </c>
      <c r="L50" s="14">
        <v>0</v>
      </c>
      <c r="P50" s="14">
        <v>7157930</v>
      </c>
      <c r="Q50" s="14">
        <v>0</v>
      </c>
      <c r="R50" s="14">
        <v>0</v>
      </c>
      <c r="S50" s="14">
        <v>0</v>
      </c>
      <c r="T50" s="14"/>
      <c r="U50" s="14"/>
      <c r="V50" s="14">
        <v>7000470</v>
      </c>
      <c r="W50" s="14">
        <v>0</v>
      </c>
      <c r="X50" s="14">
        <v>0</v>
      </c>
      <c r="Y50" s="14">
        <v>0</v>
      </c>
    </row>
    <row r="51" spans="1:25">
      <c r="B51" s="24" t="s">
        <v>125</v>
      </c>
      <c r="C51" s="14">
        <f t="shared" ref="C51:C70" si="0">P51/P286*C4*P74</f>
        <v>4223988.6617152598</v>
      </c>
      <c r="D51" s="14">
        <v>0</v>
      </c>
      <c r="E51" s="14">
        <v>0</v>
      </c>
      <c r="F51" s="14">
        <v>0</v>
      </c>
      <c r="G51" s="14"/>
      <c r="H51" s="74"/>
      <c r="I51" s="14">
        <f t="shared" ref="I51:I70" si="1">V51/V286*I4*V74</f>
        <v>4180243.5704453387</v>
      </c>
      <c r="J51" s="14">
        <v>0</v>
      </c>
      <c r="K51" s="14">
        <v>0</v>
      </c>
      <c r="L51" s="14">
        <v>0</v>
      </c>
      <c r="P51" s="14">
        <v>5401520</v>
      </c>
      <c r="Q51" s="14">
        <v>0</v>
      </c>
      <c r="R51" s="14">
        <v>0</v>
      </c>
      <c r="S51" s="14">
        <v>0</v>
      </c>
      <c r="T51" s="14"/>
      <c r="U51" s="14"/>
      <c r="V51" s="14">
        <v>5345580</v>
      </c>
      <c r="W51" s="14">
        <v>0</v>
      </c>
      <c r="X51" s="14">
        <v>0</v>
      </c>
      <c r="Y51" s="14">
        <v>0</v>
      </c>
    </row>
    <row r="52" spans="1:25">
      <c r="B52" s="24" t="s">
        <v>91</v>
      </c>
      <c r="C52" s="14">
        <f t="shared" si="0"/>
        <v>3526788.7411920559</v>
      </c>
      <c r="D52" s="14">
        <f t="shared" ref="D52:F65" si="2">Q52/Q287*D5*Q75</f>
        <v>136107.09924406977</v>
      </c>
      <c r="E52" s="14">
        <v>0</v>
      </c>
      <c r="F52" s="14">
        <v>0</v>
      </c>
      <c r="G52" s="14"/>
      <c r="H52" s="74"/>
      <c r="I52" s="14">
        <f t="shared" si="1"/>
        <v>3594056.3765191277</v>
      </c>
      <c r="J52" s="14">
        <f t="shared" ref="J52:J70" si="3">W52/W287*J5*W75</f>
        <v>52977.60880599956</v>
      </c>
      <c r="K52" s="14">
        <v>0</v>
      </c>
      <c r="L52" s="14">
        <v>0</v>
      </c>
      <c r="P52" s="14">
        <v>4509960</v>
      </c>
      <c r="Q52" s="14">
        <v>174050</v>
      </c>
      <c r="R52" s="14">
        <v>0</v>
      </c>
      <c r="S52" s="14">
        <v>0</v>
      </c>
      <c r="T52" s="14"/>
      <c r="U52" s="14"/>
      <c r="V52" s="14">
        <v>4595980</v>
      </c>
      <c r="W52" s="14">
        <v>67746.3</v>
      </c>
      <c r="X52" s="14">
        <v>0</v>
      </c>
      <c r="Y52" s="14">
        <v>0</v>
      </c>
    </row>
    <row r="53" spans="1:25">
      <c r="B53" s="24" t="s">
        <v>92</v>
      </c>
      <c r="C53" s="14">
        <f t="shared" si="0"/>
        <v>2588459.0676496597</v>
      </c>
      <c r="D53" s="14">
        <f t="shared" si="2"/>
        <v>475789.12890085339</v>
      </c>
      <c r="E53" s="14">
        <f t="shared" si="2"/>
        <v>217470.28719748463</v>
      </c>
      <c r="F53" s="14">
        <v>0</v>
      </c>
      <c r="G53" s="14"/>
      <c r="H53" s="74"/>
      <c r="I53" s="14">
        <f t="shared" si="1"/>
        <v>3013132.0352137559</v>
      </c>
      <c r="J53" s="14">
        <f t="shared" si="3"/>
        <v>174080.23457751024</v>
      </c>
      <c r="K53" s="14">
        <f t="shared" ref="K53:K70" si="4">X53/X288*K6*X76</f>
        <v>74225.325387678909</v>
      </c>
      <c r="L53" s="14">
        <v>0</v>
      </c>
      <c r="P53" s="14">
        <v>3310050</v>
      </c>
      <c r="Q53" s="14">
        <v>608426</v>
      </c>
      <c r="R53" s="14">
        <v>278095</v>
      </c>
      <c r="S53" s="14">
        <v>0</v>
      </c>
      <c r="T53" s="14"/>
      <c r="U53" s="14"/>
      <c r="V53" s="14">
        <v>3853110</v>
      </c>
      <c r="W53" s="14">
        <v>222609</v>
      </c>
      <c r="X53" s="14">
        <v>94917.3</v>
      </c>
      <c r="Y53" s="14">
        <v>0</v>
      </c>
    </row>
    <row r="54" spans="1:25">
      <c r="B54" s="24" t="s">
        <v>93</v>
      </c>
      <c r="C54" s="14">
        <f t="shared" si="0"/>
        <v>2455597.3226628643</v>
      </c>
      <c r="D54" s="14">
        <f t="shared" si="2"/>
        <v>199557.01970068301</v>
      </c>
      <c r="E54" s="14">
        <f t="shared" si="2"/>
        <v>217470.28287610869</v>
      </c>
      <c r="F54" s="14">
        <f t="shared" si="2"/>
        <v>2602.7856837984405</v>
      </c>
      <c r="G54" s="14"/>
      <c r="H54" s="74"/>
      <c r="I54" s="14">
        <f t="shared" si="1"/>
        <v>2717668.9619156797</v>
      </c>
      <c r="J54" s="14">
        <f t="shared" si="3"/>
        <v>73857.86349813822</v>
      </c>
      <c r="K54" s="14">
        <f t="shared" si="4"/>
        <v>74225.325246174179</v>
      </c>
      <c r="L54" s="14">
        <f t="shared" ref="L54:L69" si="5">Y54/Y289*L7*Y77</f>
        <v>612.42019328602373</v>
      </c>
      <c r="P54" s="14">
        <v>3140150</v>
      </c>
      <c r="Q54" s="14">
        <v>255188</v>
      </c>
      <c r="R54" s="14">
        <v>278095</v>
      </c>
      <c r="S54" s="14">
        <v>3328.37</v>
      </c>
      <c r="T54" s="14"/>
      <c r="U54" s="14"/>
      <c r="V54" s="14">
        <v>3475280</v>
      </c>
      <c r="W54" s="14">
        <v>94447.4</v>
      </c>
      <c r="X54" s="14">
        <v>94917.3</v>
      </c>
      <c r="Y54" s="14">
        <v>783.14599999999996</v>
      </c>
    </row>
    <row r="55" spans="1:25">
      <c r="B55" s="24" t="s">
        <v>94</v>
      </c>
      <c r="C55" s="14">
        <f t="shared" si="0"/>
        <v>2182225.7708041482</v>
      </c>
      <c r="D55" s="14">
        <f t="shared" si="2"/>
        <v>142173.06878380055</v>
      </c>
      <c r="E55" s="14">
        <f t="shared" si="2"/>
        <v>146766.53517329178</v>
      </c>
      <c r="F55" s="14">
        <f t="shared" si="2"/>
        <v>1194.2153686826475</v>
      </c>
      <c r="G55" s="14"/>
      <c r="H55" s="74"/>
      <c r="I55" s="14">
        <f t="shared" si="1"/>
        <v>2359677.2073340672</v>
      </c>
      <c r="J55" s="14">
        <f t="shared" si="3"/>
        <v>50340.938905552888</v>
      </c>
      <c r="K55" s="14">
        <f t="shared" si="4"/>
        <v>52392.516174069082</v>
      </c>
      <c r="L55" s="14">
        <f t="shared" si="5"/>
        <v>1745.4002782006919</v>
      </c>
      <c r="P55" s="14">
        <v>2790570</v>
      </c>
      <c r="Q55" s="14">
        <v>181807</v>
      </c>
      <c r="R55" s="14">
        <v>187681</v>
      </c>
      <c r="S55" s="14">
        <v>1527.13</v>
      </c>
      <c r="T55" s="14"/>
      <c r="U55" s="14"/>
      <c r="V55" s="14">
        <v>3017490</v>
      </c>
      <c r="W55" s="14">
        <v>64374.6</v>
      </c>
      <c r="X55" s="14">
        <v>66998.100000000006</v>
      </c>
      <c r="Y55" s="14">
        <v>2231.9699999999998</v>
      </c>
    </row>
    <row r="56" spans="1:25">
      <c r="B56" s="24" t="s">
        <v>95</v>
      </c>
      <c r="C56" s="14">
        <f t="shared" si="0"/>
        <v>1903825.9566805277</v>
      </c>
      <c r="D56" s="14">
        <f t="shared" si="2"/>
        <v>103805.02713365818</v>
      </c>
      <c r="E56" s="14">
        <f t="shared" si="2"/>
        <v>84146.325958100875</v>
      </c>
      <c r="F56" s="14">
        <f t="shared" si="2"/>
        <v>20730.426208097932</v>
      </c>
      <c r="G56" s="14"/>
      <c r="H56" s="74"/>
      <c r="I56" s="14">
        <f t="shared" si="1"/>
        <v>2019554.1261526204</v>
      </c>
      <c r="J56" s="14">
        <f t="shared" si="3"/>
        <v>36439.011391511041</v>
      </c>
      <c r="K56" s="14">
        <f t="shared" si="4"/>
        <v>36561.470116877797</v>
      </c>
      <c r="L56" s="14">
        <f t="shared" si="5"/>
        <v>7104.0731111915184</v>
      </c>
      <c r="P56" s="14">
        <v>2434560</v>
      </c>
      <c r="Q56" s="14">
        <v>132743</v>
      </c>
      <c r="R56" s="14">
        <v>107604</v>
      </c>
      <c r="S56" s="14">
        <v>26509.5</v>
      </c>
      <c r="T56" s="14"/>
      <c r="U56" s="14"/>
      <c r="V56" s="14">
        <v>2582550</v>
      </c>
      <c r="W56" s="14">
        <v>46597.2</v>
      </c>
      <c r="X56" s="14">
        <v>46753.8</v>
      </c>
      <c r="Y56" s="14">
        <v>9084.49</v>
      </c>
    </row>
    <row r="57" spans="1:25">
      <c r="B57" s="24" t="s">
        <v>96</v>
      </c>
      <c r="C57" s="14">
        <f t="shared" si="0"/>
        <v>1644444.3369484062</v>
      </c>
      <c r="D57" s="14">
        <f t="shared" si="2"/>
        <v>69662.752693503528</v>
      </c>
      <c r="E57" s="14">
        <f t="shared" si="2"/>
        <v>57873.710950197339</v>
      </c>
      <c r="F57" s="14">
        <f t="shared" si="2"/>
        <v>13013.88788515194</v>
      </c>
      <c r="G57" s="14"/>
      <c r="H57" s="74"/>
      <c r="I57" s="14">
        <f t="shared" si="1"/>
        <v>1716669.869367498</v>
      </c>
      <c r="J57" s="14">
        <f t="shared" si="3"/>
        <v>25201.123780219848</v>
      </c>
      <c r="K57" s="14">
        <f t="shared" si="4"/>
        <v>26885.23852825868</v>
      </c>
      <c r="L57" s="14">
        <f t="shared" si="5"/>
        <v>5909.8578149970062</v>
      </c>
      <c r="P57" s="14">
        <v>2102870</v>
      </c>
      <c r="Q57" s="14">
        <v>89082.8</v>
      </c>
      <c r="R57" s="14">
        <v>74007.3</v>
      </c>
      <c r="S57" s="14">
        <v>16641.8</v>
      </c>
      <c r="T57" s="14"/>
      <c r="U57" s="14"/>
      <c r="V57" s="14">
        <v>2195230</v>
      </c>
      <c r="W57" s="14">
        <v>32226.5</v>
      </c>
      <c r="X57" s="14">
        <v>34380.1</v>
      </c>
      <c r="Y57" s="14">
        <v>7557.36</v>
      </c>
    </row>
    <row r="58" spans="1:25">
      <c r="B58" s="24" t="s">
        <v>97</v>
      </c>
      <c r="C58" s="14">
        <f t="shared" si="0"/>
        <v>1416295.8416282646</v>
      </c>
      <c r="D58" s="14">
        <f t="shared" si="2"/>
        <v>48013.708579801329</v>
      </c>
      <c r="E58" s="14">
        <f t="shared" si="2"/>
        <v>39960.435583650571</v>
      </c>
      <c r="F58" s="14">
        <f t="shared" si="2"/>
        <v>8635.1549088448864</v>
      </c>
      <c r="G58" s="14"/>
      <c r="H58" s="74"/>
      <c r="I58" s="14">
        <f t="shared" si="1"/>
        <v>1471849.0912113963</v>
      </c>
      <c r="J58" s="14">
        <f t="shared" si="3"/>
        <v>19168.77706064672</v>
      </c>
      <c r="K58" s="14">
        <f t="shared" si="4"/>
        <v>21251.005935617184</v>
      </c>
      <c r="L58" s="14">
        <f t="shared" si="5"/>
        <v>4868.7413135950392</v>
      </c>
      <c r="P58" s="14">
        <v>1811120</v>
      </c>
      <c r="Q58" s="14">
        <v>61398.6</v>
      </c>
      <c r="R58" s="14">
        <v>51100.3</v>
      </c>
      <c r="S58" s="14">
        <v>11042.4</v>
      </c>
      <c r="T58" s="14"/>
      <c r="U58" s="14"/>
      <c r="V58" s="14">
        <v>1882160</v>
      </c>
      <c r="W58" s="14">
        <v>24512.5</v>
      </c>
      <c r="X58" s="14">
        <v>27175.200000000001</v>
      </c>
      <c r="Y58" s="14">
        <v>6226.01</v>
      </c>
    </row>
    <row r="59" spans="1:25">
      <c r="B59" s="24" t="s">
        <v>98</v>
      </c>
      <c r="C59" s="14">
        <f t="shared" si="0"/>
        <v>1184049.6737200676</v>
      </c>
      <c r="D59" s="14">
        <f t="shared" si="2"/>
        <v>31815.2014633853</v>
      </c>
      <c r="E59" s="14">
        <f t="shared" si="2"/>
        <v>25446.044409701488</v>
      </c>
      <c r="F59" s="14">
        <f t="shared" si="2"/>
        <v>5389.2925739802276</v>
      </c>
      <c r="G59" s="14"/>
      <c r="H59" s="74"/>
      <c r="I59" s="14">
        <f t="shared" si="1"/>
        <v>1241495.3661871057</v>
      </c>
      <c r="J59" s="14">
        <f t="shared" si="3"/>
        <v>13565.117936332657</v>
      </c>
      <c r="K59" s="14">
        <f t="shared" si="4"/>
        <v>15524.810899002348</v>
      </c>
      <c r="L59" s="14">
        <f t="shared" si="5"/>
        <v>3827.6239964796137</v>
      </c>
      <c r="P59" s="14">
        <v>1514130</v>
      </c>
      <c r="Q59" s="14">
        <v>40684.400000000001</v>
      </c>
      <c r="R59" s="14">
        <v>32539.7</v>
      </c>
      <c r="S59" s="14">
        <v>6891.68</v>
      </c>
      <c r="T59" s="14"/>
      <c r="U59" s="14"/>
      <c r="V59" s="14">
        <v>1587590</v>
      </c>
      <c r="W59" s="14">
        <v>17346.7</v>
      </c>
      <c r="X59" s="14">
        <v>19852.7</v>
      </c>
      <c r="Y59" s="14">
        <v>4894.66</v>
      </c>
    </row>
    <row r="60" spans="1:25">
      <c r="B60" s="24" t="s">
        <v>99</v>
      </c>
      <c r="C60" s="14">
        <f t="shared" si="0"/>
        <v>968937.07540216867</v>
      </c>
      <c r="D60" s="14">
        <f t="shared" si="2"/>
        <v>21251.005989457175</v>
      </c>
      <c r="E60" s="14">
        <f t="shared" si="2"/>
        <v>16504.734087890218</v>
      </c>
      <c r="F60" s="14">
        <f t="shared" si="2"/>
        <v>3398.9295464774104</v>
      </c>
      <c r="G60" s="14"/>
      <c r="H60" s="74"/>
      <c r="I60" s="14">
        <f t="shared" si="1"/>
        <v>1047786.169884612</v>
      </c>
      <c r="J60" s="14">
        <f t="shared" si="3"/>
        <v>9676.2351008784353</v>
      </c>
      <c r="K60" s="14">
        <f t="shared" si="4"/>
        <v>11544.120495259518</v>
      </c>
      <c r="L60" s="14">
        <f t="shared" si="5"/>
        <v>2878.380307161377</v>
      </c>
      <c r="P60" s="14">
        <v>1239050</v>
      </c>
      <c r="Q60" s="14">
        <v>27175.200000000001</v>
      </c>
      <c r="R60" s="14">
        <v>21105.8</v>
      </c>
      <c r="S60" s="14">
        <v>4346.46</v>
      </c>
      <c r="T60" s="14"/>
      <c r="U60" s="14"/>
      <c r="V60" s="14">
        <v>1339880</v>
      </c>
      <c r="W60" s="14">
        <v>12373.7</v>
      </c>
      <c r="X60" s="14">
        <v>14762.3</v>
      </c>
      <c r="Y60" s="14">
        <v>3680.79</v>
      </c>
    </row>
    <row r="61" spans="1:25">
      <c r="B61" s="24" t="s">
        <v>100</v>
      </c>
      <c r="C61" s="14">
        <f t="shared" si="0"/>
        <v>765423.15418941306</v>
      </c>
      <c r="D61" s="14">
        <f t="shared" si="2"/>
        <v>13442.659169849643</v>
      </c>
      <c r="E61" s="14">
        <f t="shared" si="2"/>
        <v>10472.386158577785</v>
      </c>
      <c r="F61" s="14">
        <f t="shared" si="2"/>
        <v>2020.9854433199291</v>
      </c>
      <c r="G61" s="14"/>
      <c r="H61" s="74"/>
      <c r="I61" s="14">
        <f t="shared" si="1"/>
        <v>843707.60685000347</v>
      </c>
      <c r="J61" s="14">
        <f t="shared" si="3"/>
        <v>6950.9714310398249</v>
      </c>
      <c r="K61" s="14">
        <f t="shared" si="4"/>
        <v>8635.1578901901739</v>
      </c>
      <c r="L61" s="14">
        <f t="shared" si="5"/>
        <v>2235.3333663454159</v>
      </c>
      <c r="P61" s="14">
        <v>978802</v>
      </c>
      <c r="Q61" s="14">
        <v>17190.099999999999</v>
      </c>
      <c r="R61" s="14">
        <v>13391.8</v>
      </c>
      <c r="S61" s="14">
        <v>2584.38</v>
      </c>
      <c r="T61" s="14"/>
      <c r="U61" s="14"/>
      <c r="V61" s="14">
        <v>1078910</v>
      </c>
      <c r="W61" s="14">
        <v>8888.7099999999991</v>
      </c>
      <c r="X61" s="14">
        <v>11042.4</v>
      </c>
      <c r="Y61" s="14">
        <v>2858.48</v>
      </c>
    </row>
    <row r="62" spans="1:25">
      <c r="B62" s="24" t="s">
        <v>101</v>
      </c>
      <c r="C62" s="14">
        <f t="shared" si="0"/>
        <v>591182.58212585701</v>
      </c>
      <c r="D62" s="14">
        <f t="shared" si="2"/>
        <v>7992.1180075921784</v>
      </c>
      <c r="E62" s="14">
        <f t="shared" si="2"/>
        <v>6093.5773121489228</v>
      </c>
      <c r="F62" s="14">
        <f t="shared" si="2"/>
        <v>1194.2148058681703</v>
      </c>
      <c r="G62" s="14"/>
      <c r="H62" s="74"/>
      <c r="I62" s="14">
        <f t="shared" si="1"/>
        <v>666047.3931570655</v>
      </c>
      <c r="J62" s="14">
        <f t="shared" si="3"/>
        <v>4838.1178985076222</v>
      </c>
      <c r="K62" s="14">
        <f t="shared" si="4"/>
        <v>6154.8263869130624</v>
      </c>
      <c r="L62" s="14">
        <f t="shared" si="5"/>
        <v>1622.9181865403177</v>
      </c>
      <c r="P62" s="14">
        <v>755988</v>
      </c>
      <c r="Q62" s="14">
        <v>10220.1</v>
      </c>
      <c r="R62" s="14">
        <v>7792.3</v>
      </c>
      <c r="S62" s="14">
        <v>1527.13</v>
      </c>
      <c r="T62" s="14"/>
      <c r="U62" s="14"/>
      <c r="V62" s="14">
        <v>851723</v>
      </c>
      <c r="W62" s="14">
        <v>6186.85</v>
      </c>
      <c r="X62" s="14">
        <v>7870.62</v>
      </c>
      <c r="Y62" s="14">
        <v>2075.34</v>
      </c>
    </row>
    <row r="63" spans="1:25">
      <c r="B63" s="24" t="s">
        <v>102</v>
      </c>
      <c r="C63" s="14">
        <f t="shared" si="0"/>
        <v>436652.28810031054</v>
      </c>
      <c r="D63" s="14">
        <f t="shared" si="2"/>
        <v>4256.3159567956118</v>
      </c>
      <c r="E63" s="14">
        <f t="shared" si="2"/>
        <v>3307.0703168848822</v>
      </c>
      <c r="F63" s="14">
        <f t="shared" si="2"/>
        <v>612.42052241257022</v>
      </c>
      <c r="G63" s="14"/>
      <c r="H63" s="74"/>
      <c r="I63" s="14">
        <f t="shared" si="1"/>
        <v>498904.98798541154</v>
      </c>
      <c r="J63" s="14">
        <f t="shared" si="3"/>
        <v>3092.7254553399553</v>
      </c>
      <c r="K63" s="14">
        <f t="shared" si="4"/>
        <v>3888.8681286159981</v>
      </c>
      <c r="L63" s="14">
        <f t="shared" si="5"/>
        <v>1132.9756868379316</v>
      </c>
      <c r="P63" s="14">
        <v>558379</v>
      </c>
      <c r="Q63" s="14">
        <v>5442.86</v>
      </c>
      <c r="R63" s="14">
        <v>4228.99</v>
      </c>
      <c r="S63" s="14">
        <v>783.14599999999996</v>
      </c>
      <c r="T63" s="14"/>
      <c r="U63" s="14"/>
      <c r="V63" s="14">
        <v>637986</v>
      </c>
      <c r="W63" s="14">
        <v>3954.89</v>
      </c>
      <c r="X63" s="14">
        <v>4972.9799999999996</v>
      </c>
      <c r="Y63" s="14">
        <v>1448.82</v>
      </c>
    </row>
    <row r="64" spans="1:25">
      <c r="B64" s="24" t="s">
        <v>103</v>
      </c>
      <c r="C64" s="14">
        <f t="shared" si="0"/>
        <v>284826.42852455284</v>
      </c>
      <c r="D64" s="14">
        <f t="shared" si="2"/>
        <v>2020.9837548042497</v>
      </c>
      <c r="E64" s="14">
        <f t="shared" si="2"/>
        <v>1592.2947029035852</v>
      </c>
      <c r="F64" s="14">
        <f t="shared" si="2"/>
        <v>275.5893267488334</v>
      </c>
      <c r="G64" s="14"/>
      <c r="H64" s="74"/>
      <c r="I64" s="14">
        <f t="shared" si="1"/>
        <v>337630.06882131082</v>
      </c>
      <c r="J64" s="14">
        <f t="shared" si="3"/>
        <v>1745.3976854946006</v>
      </c>
      <c r="K64" s="14">
        <f t="shared" si="4"/>
        <v>2265.9536353301269</v>
      </c>
      <c r="L64" s="14">
        <f t="shared" si="5"/>
        <v>796.15102949035622</v>
      </c>
      <c r="P64" s="14">
        <v>364228</v>
      </c>
      <c r="Q64" s="14">
        <v>2584.38</v>
      </c>
      <c r="R64" s="14">
        <v>2036.18</v>
      </c>
      <c r="S64" s="14">
        <v>352.416</v>
      </c>
      <c r="T64" s="14"/>
      <c r="U64" s="14"/>
      <c r="V64" s="14">
        <v>431752</v>
      </c>
      <c r="W64" s="14">
        <v>2231.9699999999998</v>
      </c>
      <c r="X64" s="14">
        <v>2897.64</v>
      </c>
      <c r="Y64" s="14">
        <v>1018.09</v>
      </c>
    </row>
    <row r="65" spans="1:36">
      <c r="B65" s="24" t="s">
        <v>104</v>
      </c>
      <c r="C65" s="14">
        <f t="shared" si="0"/>
        <v>152807.60826244604</v>
      </c>
      <c r="D65" s="14">
        <f t="shared" si="2"/>
        <v>643.04262193305635</v>
      </c>
      <c r="E65" s="14">
        <f t="shared" si="2"/>
        <v>551.17870697828482</v>
      </c>
      <c r="F65" s="14">
        <f t="shared" si="2"/>
        <v>122.4845499171893</v>
      </c>
      <c r="G65" s="14"/>
      <c r="H65" s="74"/>
      <c r="I65" s="14">
        <f t="shared" si="1"/>
        <v>188709.7401545996</v>
      </c>
      <c r="J65" s="14">
        <f t="shared" si="3"/>
        <v>888.0086798260287</v>
      </c>
      <c r="K65" s="14">
        <f t="shared" si="4"/>
        <v>1041.1174792289169</v>
      </c>
      <c r="L65" s="14">
        <f t="shared" si="5"/>
        <v>520.5672649163173</v>
      </c>
      <c r="P65" s="14">
        <v>195406</v>
      </c>
      <c r="Q65" s="14">
        <v>822.303</v>
      </c>
      <c r="R65" s="14">
        <v>704.83100000000002</v>
      </c>
      <c r="S65" s="14">
        <v>156.62899999999999</v>
      </c>
      <c r="T65" s="14"/>
      <c r="U65" s="14"/>
      <c r="V65" s="14">
        <v>241317</v>
      </c>
      <c r="W65" s="14">
        <v>1135.56</v>
      </c>
      <c r="X65" s="14">
        <v>1331.35</v>
      </c>
      <c r="Y65" s="14">
        <v>665.67399999999998</v>
      </c>
    </row>
    <row r="66" spans="1:36">
      <c r="B66" s="24" t="s">
        <v>105</v>
      </c>
      <c r="C66" s="14">
        <f t="shared" si="0"/>
        <v>67811.749137173538</v>
      </c>
      <c r="D66" s="14">
        <f t="shared" ref="D66:D70" si="6">Q66/Q301*D19*Q89</f>
        <v>122.48402110552763</v>
      </c>
      <c r="E66" s="14">
        <f t="shared" ref="E66:E70" si="7">R66/R301*E19*R89</f>
        <v>91.862854824082746</v>
      </c>
      <c r="F66" s="14">
        <f t="shared" ref="F66:F70" si="8">S66/S301*F19*S89</f>
        <v>0</v>
      </c>
      <c r="G66" s="14"/>
      <c r="H66" s="74"/>
      <c r="I66" s="14">
        <f t="shared" si="1"/>
        <v>83660.510745521853</v>
      </c>
      <c r="J66" s="14">
        <f t="shared" si="3"/>
        <v>244.96754240690933</v>
      </c>
      <c r="K66" s="14">
        <f t="shared" si="4"/>
        <v>306.21117599300521</v>
      </c>
      <c r="L66" s="14">
        <f t="shared" si="5"/>
        <v>306.22210430049961</v>
      </c>
      <c r="P66" s="14">
        <v>86715.9</v>
      </c>
      <c r="Q66" s="14">
        <v>156.62899999999999</v>
      </c>
      <c r="R66" s="14">
        <v>117.47199999999999</v>
      </c>
      <c r="S66" s="14">
        <v>0</v>
      </c>
      <c r="T66" s="14"/>
      <c r="U66" s="14"/>
      <c r="V66" s="14">
        <v>106983</v>
      </c>
      <c r="W66" s="14">
        <v>313.25799999999998</v>
      </c>
      <c r="X66" s="14">
        <v>391.57299999999998</v>
      </c>
      <c r="Y66" s="14">
        <v>391.57299999999998</v>
      </c>
    </row>
    <row r="67" spans="1:36">
      <c r="B67" s="24" t="s">
        <v>106</v>
      </c>
      <c r="C67" s="14">
        <f t="shared" si="0"/>
        <v>20037.815476190477</v>
      </c>
      <c r="D67" s="14">
        <f t="shared" si="6"/>
        <v>0</v>
      </c>
      <c r="E67" s="14">
        <f t="shared" si="7"/>
        <v>0</v>
      </c>
      <c r="F67" s="14">
        <f t="shared" si="8"/>
        <v>0</v>
      </c>
      <c r="G67" s="14"/>
      <c r="H67" s="74"/>
      <c r="I67" s="14">
        <f t="shared" si="1"/>
        <v>25783.928607690854</v>
      </c>
      <c r="J67" s="14">
        <f t="shared" si="3"/>
        <v>91.863120442298268</v>
      </c>
      <c r="K67" s="14">
        <f t="shared" si="4"/>
        <v>91.866248565965563</v>
      </c>
      <c r="L67" s="14">
        <f t="shared" si="5"/>
        <v>91.870617870095614</v>
      </c>
      <c r="P67" s="14">
        <v>25624</v>
      </c>
      <c r="Q67" s="14">
        <v>0</v>
      </c>
      <c r="R67" s="14">
        <v>0</v>
      </c>
      <c r="S67" s="14">
        <v>0</v>
      </c>
      <c r="T67" s="14"/>
      <c r="U67" s="14"/>
      <c r="V67" s="14">
        <v>32971.599999999999</v>
      </c>
      <c r="W67" s="14">
        <v>117.47199999999999</v>
      </c>
      <c r="X67" s="14">
        <v>117.47199999999999</v>
      </c>
      <c r="Y67" s="14">
        <v>117.47199999999999</v>
      </c>
    </row>
    <row r="68" spans="1:36">
      <c r="B68" s="24" t="s">
        <v>107</v>
      </c>
      <c r="C68" s="14">
        <f t="shared" si="0"/>
        <v>4561.2378572023663</v>
      </c>
      <c r="D68" s="14">
        <f t="shared" si="6"/>
        <v>0</v>
      </c>
      <c r="E68" s="14">
        <f t="shared" si="7"/>
        <v>0</v>
      </c>
      <c r="F68" s="14">
        <f t="shared" si="8"/>
        <v>0</v>
      </c>
      <c r="G68" s="14"/>
      <c r="H68" s="74"/>
      <c r="I68" s="14">
        <f t="shared" si="1"/>
        <v>6199.3300538951498</v>
      </c>
      <c r="J68" s="14">
        <f t="shared" si="3"/>
        <v>0</v>
      </c>
      <c r="K68" s="14">
        <f t="shared" si="4"/>
        <v>0</v>
      </c>
      <c r="L68" s="14">
        <f t="shared" si="5"/>
        <v>30.619959317904996</v>
      </c>
      <c r="P68" s="14">
        <v>5833</v>
      </c>
      <c r="Q68" s="14">
        <v>0</v>
      </c>
      <c r="R68" s="14">
        <v>0</v>
      </c>
      <c r="S68" s="14">
        <v>0</v>
      </c>
      <c r="T68" s="14"/>
      <c r="U68" s="14"/>
      <c r="V68" s="14">
        <v>7927.84</v>
      </c>
      <c r="W68" s="14">
        <v>0</v>
      </c>
      <c r="X68" s="14">
        <v>0</v>
      </c>
      <c r="Y68" s="14">
        <v>39.157299999999999</v>
      </c>
    </row>
    <row r="69" spans="1:36">
      <c r="B69" s="24" t="s">
        <v>108</v>
      </c>
      <c r="C69" s="14">
        <f t="shared" si="0"/>
        <v>683.51282051282055</v>
      </c>
      <c r="D69" s="14">
        <f t="shared" si="6"/>
        <v>0</v>
      </c>
      <c r="E69" s="14">
        <f t="shared" si="7"/>
        <v>0</v>
      </c>
      <c r="F69" s="14">
        <f t="shared" si="8"/>
        <v>0</v>
      </c>
      <c r="G69" s="14"/>
      <c r="H69" s="74"/>
      <c r="I69" s="14">
        <f t="shared" si="1"/>
        <v>953.28201970443342</v>
      </c>
      <c r="J69" s="14">
        <f t="shared" si="3"/>
        <v>0</v>
      </c>
      <c r="K69" s="14">
        <f t="shared" si="4"/>
        <v>0</v>
      </c>
      <c r="L69" s="14">
        <f t="shared" si="5"/>
        <v>0</v>
      </c>
      <c r="P69" s="14">
        <v>874</v>
      </c>
      <c r="Q69" s="14">
        <v>0</v>
      </c>
      <c r="R69" s="14">
        <v>0</v>
      </c>
      <c r="S69" s="14">
        <v>0</v>
      </c>
      <c r="T69" s="14"/>
      <c r="U69" s="14"/>
      <c r="V69" s="14">
        <v>1219</v>
      </c>
      <c r="W69" s="14">
        <v>0</v>
      </c>
      <c r="X69" s="14">
        <v>0</v>
      </c>
      <c r="Y69" s="14">
        <v>0</v>
      </c>
    </row>
    <row r="70" spans="1:36">
      <c r="B70" s="24" t="s">
        <v>109</v>
      </c>
      <c r="C70" s="14">
        <f t="shared" si="0"/>
        <v>62.558558558558566</v>
      </c>
      <c r="D70" s="14">
        <f t="shared" si="6"/>
        <v>0</v>
      </c>
      <c r="E70" s="14">
        <f t="shared" si="7"/>
        <v>0</v>
      </c>
      <c r="F70" s="14">
        <f t="shared" si="8"/>
        <v>0</v>
      </c>
      <c r="G70" s="14"/>
      <c r="H70" s="74"/>
      <c r="I70" s="14">
        <f t="shared" si="1"/>
        <v>111.06505295007565</v>
      </c>
      <c r="J70" s="14">
        <f t="shared" si="3"/>
        <v>0</v>
      </c>
      <c r="K70" s="14">
        <f t="shared" si="4"/>
        <v>0</v>
      </c>
      <c r="L70" s="14">
        <v>0</v>
      </c>
      <c r="P70" s="14">
        <v>80</v>
      </c>
      <c r="Q70" s="14">
        <v>0</v>
      </c>
      <c r="R70" s="14">
        <v>0</v>
      </c>
      <c r="S70" s="14">
        <v>0</v>
      </c>
      <c r="T70" s="14"/>
      <c r="U70" s="14"/>
      <c r="V70" s="14">
        <v>142</v>
      </c>
      <c r="W70" s="14">
        <v>0</v>
      </c>
      <c r="X70" s="14">
        <v>0</v>
      </c>
      <c r="Y70" s="14">
        <v>0</v>
      </c>
    </row>
    <row r="72" spans="1:36" ht="18">
      <c r="A72" s="25" t="s">
        <v>126</v>
      </c>
      <c r="B72" s="26" t="s">
        <v>110</v>
      </c>
      <c r="C72" s="27" t="s">
        <v>121</v>
      </c>
      <c r="D72" s="27" t="s">
        <v>122</v>
      </c>
      <c r="E72" s="27" t="s">
        <v>113</v>
      </c>
      <c r="F72" s="27" t="s">
        <v>123</v>
      </c>
      <c r="G72" s="40"/>
      <c r="H72" s="26" t="s">
        <v>111</v>
      </c>
      <c r="I72" s="13" t="s">
        <v>121</v>
      </c>
      <c r="J72" s="27" t="s">
        <v>122</v>
      </c>
      <c r="K72" s="27" t="s">
        <v>113</v>
      </c>
      <c r="L72" s="27" t="s">
        <v>123</v>
      </c>
    </row>
    <row r="73" spans="1:36">
      <c r="B73" s="24" t="s">
        <v>124</v>
      </c>
      <c r="C73" s="14">
        <f>P50/P285*C26*P73</f>
        <v>1560428.74</v>
      </c>
      <c r="D73" s="14">
        <v>0</v>
      </c>
      <c r="E73" s="14">
        <v>0</v>
      </c>
      <c r="F73" s="14">
        <v>0</v>
      </c>
      <c r="G73" s="14"/>
      <c r="H73" s="14"/>
      <c r="I73" s="14">
        <f>V50/V285*I26*V73</f>
        <v>1526102.46</v>
      </c>
      <c r="J73" s="14">
        <v>0</v>
      </c>
      <c r="K73" s="14">
        <v>0</v>
      </c>
      <c r="L73" s="14">
        <v>0</v>
      </c>
      <c r="P73" s="73">
        <v>0.74831711423520497</v>
      </c>
      <c r="Q73" s="73">
        <v>1</v>
      </c>
      <c r="R73" s="73">
        <v>1</v>
      </c>
      <c r="S73" s="73">
        <v>1</v>
      </c>
      <c r="T73" s="73"/>
      <c r="U73" s="73"/>
      <c r="V73" s="73">
        <v>0.72348442553191483</v>
      </c>
      <c r="W73" s="73">
        <v>1</v>
      </c>
      <c r="X73" s="73">
        <v>1</v>
      </c>
      <c r="Y73" s="73">
        <v>1</v>
      </c>
      <c r="AB73" s="14">
        <f>SUM(C50,C73)</f>
        <v>7157930</v>
      </c>
      <c r="AC73" s="14">
        <f t="shared" ref="AC73:AJ88" si="9">SUM(D50,D73)</f>
        <v>0</v>
      </c>
      <c r="AD73" s="14">
        <f t="shared" si="9"/>
        <v>0</v>
      </c>
      <c r="AE73" s="14">
        <f t="shared" si="9"/>
        <v>0</v>
      </c>
      <c r="AF73" s="14"/>
      <c r="AG73" s="14"/>
      <c r="AH73" s="14">
        <f t="shared" si="9"/>
        <v>7000469.9999999991</v>
      </c>
      <c r="AI73" s="14">
        <f t="shared" si="9"/>
        <v>0</v>
      </c>
      <c r="AJ73" s="14">
        <f t="shared" si="9"/>
        <v>0</v>
      </c>
    </row>
    <row r="74" spans="1:36">
      <c r="B74" s="24" t="s">
        <v>125</v>
      </c>
      <c r="C74" s="14">
        <f t="shared" ref="C74:C93" si="10">P51/P286*C27*P74</f>
        <v>1177531.3382847407</v>
      </c>
      <c r="D74" s="14">
        <v>0</v>
      </c>
      <c r="E74" s="14">
        <v>0</v>
      </c>
      <c r="F74" s="14">
        <v>0</v>
      </c>
      <c r="G74" s="14"/>
      <c r="H74" s="74"/>
      <c r="I74" s="14">
        <f t="shared" ref="I74:I93" si="11">V51/V286*I27*V74</f>
        <v>1165336.4295546603</v>
      </c>
      <c r="J74" s="14">
        <v>0</v>
      </c>
      <c r="K74" s="14">
        <v>0</v>
      </c>
      <c r="L74" s="14">
        <v>0</v>
      </c>
      <c r="P74" s="73">
        <v>0.6771140849002435</v>
      </c>
      <c r="Q74" s="73">
        <v>1</v>
      </c>
      <c r="R74" s="73">
        <v>1</v>
      </c>
      <c r="S74" s="73">
        <v>1</v>
      </c>
      <c r="T74" s="73"/>
      <c r="U74" s="73"/>
      <c r="V74" s="73">
        <v>0.65371506955313641</v>
      </c>
      <c r="W74" s="73">
        <v>1</v>
      </c>
      <c r="X74" s="73">
        <v>1</v>
      </c>
      <c r="Y74" s="73">
        <v>1</v>
      </c>
      <c r="AB74" s="14">
        <f t="shared" ref="AB74:AB93" si="12">SUM(C51,C74)</f>
        <v>5401520</v>
      </c>
      <c r="AC74" s="14">
        <f t="shared" si="9"/>
        <v>0</v>
      </c>
      <c r="AD74" s="14">
        <f t="shared" si="9"/>
        <v>0</v>
      </c>
      <c r="AE74" s="14">
        <f t="shared" si="9"/>
        <v>0</v>
      </c>
      <c r="AF74" s="14"/>
      <c r="AG74" s="14"/>
      <c r="AH74" s="14">
        <f t="shared" si="9"/>
        <v>5345579.9999999991</v>
      </c>
      <c r="AI74" s="14">
        <f t="shared" si="9"/>
        <v>0</v>
      </c>
      <c r="AJ74" s="14">
        <f t="shared" si="9"/>
        <v>0</v>
      </c>
    </row>
    <row r="75" spans="1:36">
      <c r="B75" s="24" t="s">
        <v>91</v>
      </c>
      <c r="C75" s="14">
        <f t="shared" si="10"/>
        <v>983171.25880794402</v>
      </c>
      <c r="D75" s="14">
        <f t="shared" ref="D75:F88" si="13">Q52/Q287*D28*Q75</f>
        <v>37942.900755930204</v>
      </c>
      <c r="E75" s="14">
        <v>0</v>
      </c>
      <c r="F75" s="14">
        <v>0</v>
      </c>
      <c r="G75" s="14"/>
      <c r="H75" s="74"/>
      <c r="I75" s="14">
        <f t="shared" si="11"/>
        <v>1001923.6234808719</v>
      </c>
      <c r="J75" s="14">
        <f t="shared" ref="J75:J93" si="14">W52/W287*J28*W75</f>
        <v>14768.691194000434</v>
      </c>
      <c r="K75" s="14">
        <v>0</v>
      </c>
      <c r="L75" s="14">
        <v>0</v>
      </c>
      <c r="P75" s="73">
        <v>0.77301291338972533</v>
      </c>
      <c r="Q75" s="73">
        <v>0.64931204958751565</v>
      </c>
      <c r="R75" s="73">
        <v>1</v>
      </c>
      <c r="S75" s="73">
        <v>1</v>
      </c>
      <c r="T75" s="73"/>
      <c r="U75" s="73"/>
      <c r="V75" s="73">
        <v>0.69438076679854766</v>
      </c>
      <c r="W75" s="73">
        <v>0.82623917980968165</v>
      </c>
      <c r="X75" s="73">
        <v>1</v>
      </c>
      <c r="Y75" s="73">
        <v>1</v>
      </c>
      <c r="AB75" s="14">
        <f t="shared" si="12"/>
        <v>4509960</v>
      </c>
      <c r="AC75" s="14">
        <f t="shared" si="9"/>
        <v>174049.99999999997</v>
      </c>
      <c r="AD75" s="14">
        <f t="shared" si="9"/>
        <v>0</v>
      </c>
      <c r="AE75" s="14">
        <f t="shared" si="9"/>
        <v>0</v>
      </c>
      <c r="AF75" s="14"/>
      <c r="AG75" s="14"/>
      <c r="AH75" s="14">
        <f t="shared" si="9"/>
        <v>4595980</v>
      </c>
      <c r="AI75" s="14">
        <f t="shared" si="9"/>
        <v>67746.299999999988</v>
      </c>
      <c r="AJ75" s="14">
        <f t="shared" si="9"/>
        <v>0</v>
      </c>
    </row>
    <row r="76" spans="1:36">
      <c r="B76" s="24" t="s">
        <v>92</v>
      </c>
      <c r="C76" s="14">
        <f t="shared" si="10"/>
        <v>721590.93235034018</v>
      </c>
      <c r="D76" s="14">
        <f t="shared" si="13"/>
        <v>132636.87109914652</v>
      </c>
      <c r="E76" s="14">
        <f t="shared" si="13"/>
        <v>60624.712802515358</v>
      </c>
      <c r="F76" s="14">
        <v>0</v>
      </c>
      <c r="G76" s="14"/>
      <c r="H76" s="74"/>
      <c r="I76" s="14">
        <f t="shared" si="11"/>
        <v>839977.96478624374</v>
      </c>
      <c r="J76" s="14">
        <f t="shared" si="14"/>
        <v>48528.765422489727</v>
      </c>
      <c r="K76" s="14">
        <f t="shared" ref="K76:K93" si="15">X53/X288*K29*X76</f>
        <v>20691.97461232109</v>
      </c>
      <c r="L76" s="14">
        <v>0</v>
      </c>
      <c r="P76" s="73">
        <v>0.4544880827244917</v>
      </c>
      <c r="Q76" s="73">
        <v>1.0574877305222836</v>
      </c>
      <c r="R76" s="73">
        <v>1.2098313186637846</v>
      </c>
      <c r="S76" s="73">
        <v>1</v>
      </c>
      <c r="T76" s="73"/>
      <c r="U76" s="73"/>
      <c r="V76" s="73">
        <v>0.52832249329369196</v>
      </c>
      <c r="W76" s="73">
        <v>1.1418131378177039</v>
      </c>
      <c r="X76" s="73">
        <v>1.1311581123840753</v>
      </c>
      <c r="Y76" s="73">
        <v>1</v>
      </c>
      <c r="AB76" s="14">
        <f t="shared" si="12"/>
        <v>3310050</v>
      </c>
      <c r="AC76" s="14">
        <f t="shared" si="9"/>
        <v>608425.99999999988</v>
      </c>
      <c r="AD76" s="14">
        <f t="shared" si="9"/>
        <v>278095</v>
      </c>
      <c r="AE76" s="14">
        <f t="shared" si="9"/>
        <v>0</v>
      </c>
      <c r="AF76" s="14"/>
      <c r="AG76" s="14"/>
      <c r="AH76" s="14">
        <f t="shared" si="9"/>
        <v>3853109.9999999995</v>
      </c>
      <c r="AI76" s="14">
        <f t="shared" si="9"/>
        <v>222608.99999999997</v>
      </c>
      <c r="AJ76" s="14">
        <f t="shared" si="9"/>
        <v>94917.3</v>
      </c>
    </row>
    <row r="77" spans="1:36">
      <c r="B77" s="24" t="s">
        <v>93</v>
      </c>
      <c r="C77" s="14">
        <f t="shared" si="10"/>
        <v>684552.67733713565</v>
      </c>
      <c r="D77" s="14">
        <f t="shared" si="13"/>
        <v>55630.980299316965</v>
      </c>
      <c r="E77" s="14">
        <f t="shared" si="13"/>
        <v>60624.7171238913</v>
      </c>
      <c r="F77" s="14">
        <f t="shared" si="13"/>
        <v>725.58431620155977</v>
      </c>
      <c r="G77" s="14"/>
      <c r="H77" s="74"/>
      <c r="I77" s="14">
        <f t="shared" si="11"/>
        <v>757611.03808432014</v>
      </c>
      <c r="J77" s="14">
        <f t="shared" si="14"/>
        <v>20589.536501861778</v>
      </c>
      <c r="K77" s="14">
        <f t="shared" si="15"/>
        <v>20691.974753825827</v>
      </c>
      <c r="L77" s="14">
        <f t="shared" ref="L77:L92" si="16">Y54/Y289*L30*Y77</f>
        <v>170.72580671397608</v>
      </c>
      <c r="P77" s="73">
        <v>0.57127477005792948</v>
      </c>
      <c r="Q77" s="73">
        <v>0.91385678873276321</v>
      </c>
      <c r="R77" s="73">
        <v>1.3888663250273072</v>
      </c>
      <c r="S77" s="73">
        <v>0.63033206052989499</v>
      </c>
      <c r="T77" s="73"/>
      <c r="U77" s="73"/>
      <c r="V77" s="73">
        <v>0.62391253738490082</v>
      </c>
      <c r="W77" s="73">
        <v>1.0919219792403305</v>
      </c>
      <c r="X77" s="73">
        <v>1.2985505787732179</v>
      </c>
      <c r="Y77" s="73">
        <v>0.47436911919533964</v>
      </c>
      <c r="AB77" s="14">
        <f t="shared" si="12"/>
        <v>3140150</v>
      </c>
      <c r="AC77" s="14">
        <f t="shared" si="9"/>
        <v>255187.99999999997</v>
      </c>
      <c r="AD77" s="14">
        <f t="shared" si="9"/>
        <v>278095</v>
      </c>
      <c r="AE77" s="14">
        <f t="shared" si="9"/>
        <v>3328.3700000000003</v>
      </c>
      <c r="AF77" s="14"/>
      <c r="AG77" s="14"/>
      <c r="AH77" s="14">
        <f t="shared" si="9"/>
        <v>3475280</v>
      </c>
      <c r="AI77" s="14">
        <f t="shared" si="9"/>
        <v>94447.4</v>
      </c>
      <c r="AJ77" s="14">
        <f t="shared" si="9"/>
        <v>94917.3</v>
      </c>
    </row>
    <row r="78" spans="1:36">
      <c r="B78" s="24" t="s">
        <v>94</v>
      </c>
      <c r="C78" s="14">
        <f t="shared" si="10"/>
        <v>608344.2291958516</v>
      </c>
      <c r="D78" s="14">
        <f t="shared" si="13"/>
        <v>39633.931216199431</v>
      </c>
      <c r="E78" s="14">
        <f t="shared" si="13"/>
        <v>40914.464826708208</v>
      </c>
      <c r="F78" s="14">
        <f t="shared" si="13"/>
        <v>332.91463131735247</v>
      </c>
      <c r="G78" s="14"/>
      <c r="H78" s="74"/>
      <c r="I78" s="14">
        <f t="shared" si="11"/>
        <v>657812.79266593303</v>
      </c>
      <c r="J78" s="14">
        <f t="shared" si="14"/>
        <v>14033.661094447105</v>
      </c>
      <c r="K78" s="14">
        <f t="shared" si="15"/>
        <v>14605.583825930929</v>
      </c>
      <c r="L78" s="14">
        <f t="shared" si="16"/>
        <v>486.56972179930796</v>
      </c>
      <c r="P78" s="73">
        <v>0.65757977548396163</v>
      </c>
      <c r="Q78" s="73">
        <v>0.91718273038023834</v>
      </c>
      <c r="R78" s="73">
        <v>1.2492509583537934</v>
      </c>
      <c r="S78" s="73">
        <v>0.65243087326657756</v>
      </c>
      <c r="T78" s="73"/>
      <c r="U78" s="73"/>
      <c r="V78" s="73">
        <v>0.69640531076576739</v>
      </c>
      <c r="W78" s="73">
        <v>1.1235359942995657</v>
      </c>
      <c r="X78" s="73">
        <v>1.3390044246562758</v>
      </c>
      <c r="Y78" s="73">
        <v>0.37251168846401966</v>
      </c>
      <c r="AB78" s="14">
        <f t="shared" si="12"/>
        <v>2790570</v>
      </c>
      <c r="AC78" s="14">
        <f t="shared" si="9"/>
        <v>181807</v>
      </c>
      <c r="AD78" s="14">
        <f t="shared" si="9"/>
        <v>187681</v>
      </c>
      <c r="AE78" s="14">
        <f t="shared" si="9"/>
        <v>1527.13</v>
      </c>
      <c r="AF78" s="14"/>
      <c r="AG78" s="14"/>
      <c r="AH78" s="14">
        <f t="shared" si="9"/>
        <v>3017490</v>
      </c>
      <c r="AI78" s="14">
        <f t="shared" si="9"/>
        <v>64374.599999999991</v>
      </c>
      <c r="AJ78" s="14">
        <f t="shared" si="9"/>
        <v>66998.100000000006</v>
      </c>
    </row>
    <row r="79" spans="1:36">
      <c r="B79" s="24" t="s">
        <v>95</v>
      </c>
      <c r="C79" s="14">
        <f t="shared" si="10"/>
        <v>530734.043319472</v>
      </c>
      <c r="D79" s="14">
        <f t="shared" si="13"/>
        <v>28937.972866341806</v>
      </c>
      <c r="E79" s="14">
        <f t="shared" si="13"/>
        <v>23457.674041899121</v>
      </c>
      <c r="F79" s="14">
        <f t="shared" si="13"/>
        <v>5779.0737919020694</v>
      </c>
      <c r="G79" s="14"/>
      <c r="H79" s="74"/>
      <c r="I79" s="14">
        <f t="shared" si="11"/>
        <v>562995.87384737981</v>
      </c>
      <c r="J79" s="14">
        <f t="shared" si="14"/>
        <v>10158.188608488957</v>
      </c>
      <c r="K79" s="14">
        <f t="shared" si="15"/>
        <v>10192.329883122198</v>
      </c>
      <c r="L79" s="14">
        <f t="shared" si="16"/>
        <v>1980.4168888084828</v>
      </c>
      <c r="P79" s="73">
        <v>0.71648534020370025</v>
      </c>
      <c r="Q79" s="73">
        <v>0.90463225489064159</v>
      </c>
      <c r="R79" s="73">
        <v>0.97424389919921051</v>
      </c>
      <c r="S79" s="73">
        <v>1.0217211650721256</v>
      </c>
      <c r="T79" s="73"/>
      <c r="U79" s="73"/>
      <c r="V79" s="73">
        <v>0.76207202970657362</v>
      </c>
      <c r="W79" s="73">
        <v>1.0116414964565135</v>
      </c>
      <c r="X79" s="73">
        <v>1.110611039859084</v>
      </c>
      <c r="Y79" s="73">
        <v>0.53442751505278463</v>
      </c>
      <c r="AB79" s="14">
        <f t="shared" si="12"/>
        <v>2434559.9999999995</v>
      </c>
      <c r="AC79" s="14">
        <f t="shared" si="9"/>
        <v>132743</v>
      </c>
      <c r="AD79" s="14">
        <f t="shared" si="9"/>
        <v>107604</v>
      </c>
      <c r="AE79" s="14">
        <f t="shared" si="9"/>
        <v>26509.5</v>
      </c>
      <c r="AF79" s="14"/>
      <c r="AG79" s="14"/>
      <c r="AH79" s="14">
        <f t="shared" si="9"/>
        <v>2582550</v>
      </c>
      <c r="AI79" s="14">
        <f t="shared" si="9"/>
        <v>46597.2</v>
      </c>
      <c r="AJ79" s="14">
        <f t="shared" si="9"/>
        <v>46753.799999999996</v>
      </c>
    </row>
    <row r="80" spans="1:36">
      <c r="B80" s="24" t="s">
        <v>96</v>
      </c>
      <c r="C80" s="14">
        <f t="shared" si="10"/>
        <v>458425.66305159364</v>
      </c>
      <c r="D80" s="14">
        <f t="shared" si="13"/>
        <v>19420.047306496479</v>
      </c>
      <c r="E80" s="14">
        <f t="shared" si="13"/>
        <v>16133.58904980266</v>
      </c>
      <c r="F80" s="14">
        <f t="shared" si="13"/>
        <v>3627.9121148480581</v>
      </c>
      <c r="G80" s="14"/>
      <c r="H80" s="74"/>
      <c r="I80" s="14">
        <f t="shared" si="11"/>
        <v>478560.13063250203</v>
      </c>
      <c r="J80" s="14">
        <f t="shared" si="14"/>
        <v>7025.3762197801516</v>
      </c>
      <c r="K80" s="14">
        <f t="shared" si="15"/>
        <v>7494.8614717413193</v>
      </c>
      <c r="L80" s="14">
        <f t="shared" si="16"/>
        <v>1647.5021850029937</v>
      </c>
      <c r="P80" s="73">
        <v>0.8335857136534246</v>
      </c>
      <c r="Q80" s="73">
        <v>1.1428359496455167</v>
      </c>
      <c r="R80" s="73">
        <v>1.1420883028215922</v>
      </c>
      <c r="S80" s="73">
        <v>1.1814013313647489</v>
      </c>
      <c r="T80" s="73"/>
      <c r="U80" s="73"/>
      <c r="V80" s="73">
        <v>0.88159292808188638</v>
      </c>
      <c r="W80" s="73">
        <v>1.3637826183774064</v>
      </c>
      <c r="X80" s="73">
        <v>1.3568761915017085</v>
      </c>
      <c r="Y80" s="73">
        <v>0.59570778308439121</v>
      </c>
      <c r="AB80" s="14">
        <f t="shared" si="12"/>
        <v>2102870</v>
      </c>
      <c r="AC80" s="14">
        <f t="shared" si="9"/>
        <v>89082.8</v>
      </c>
      <c r="AD80" s="14">
        <f t="shared" si="9"/>
        <v>74007.3</v>
      </c>
      <c r="AE80" s="14">
        <f t="shared" si="9"/>
        <v>16641.8</v>
      </c>
      <c r="AF80" s="14"/>
      <c r="AG80" s="14"/>
      <c r="AH80" s="14">
        <f t="shared" si="9"/>
        <v>2195230</v>
      </c>
      <c r="AI80" s="14">
        <f t="shared" si="9"/>
        <v>32226.5</v>
      </c>
      <c r="AJ80" s="14">
        <f t="shared" si="9"/>
        <v>34380.1</v>
      </c>
    </row>
    <row r="81" spans="1:36">
      <c r="B81" s="24" t="s">
        <v>97</v>
      </c>
      <c r="C81" s="14">
        <f t="shared" si="10"/>
        <v>394824.15837173536</v>
      </c>
      <c r="D81" s="14">
        <f t="shared" si="13"/>
        <v>13384.89142019867</v>
      </c>
      <c r="E81" s="14">
        <f t="shared" si="13"/>
        <v>11139.86441634943</v>
      </c>
      <c r="F81" s="14">
        <f t="shared" si="13"/>
        <v>2407.2450911551127</v>
      </c>
      <c r="G81" s="14"/>
      <c r="H81" s="74"/>
      <c r="I81" s="14">
        <f t="shared" si="11"/>
        <v>410310.90878860385</v>
      </c>
      <c r="J81" s="14">
        <f t="shared" si="14"/>
        <v>5343.7229393532816</v>
      </c>
      <c r="K81" s="14">
        <f t="shared" si="15"/>
        <v>5924.1940643828129</v>
      </c>
      <c r="L81" s="14">
        <f t="shared" si="16"/>
        <v>1357.2686864049608</v>
      </c>
      <c r="P81" s="73">
        <v>0.96992056779607494</v>
      </c>
      <c r="Q81" s="73">
        <v>1.280629784376085</v>
      </c>
      <c r="R81" s="73">
        <v>1.2708480581875663</v>
      </c>
      <c r="S81" s="73">
        <v>1.327072442147412</v>
      </c>
      <c r="T81" s="73"/>
      <c r="U81" s="73"/>
      <c r="V81" s="73">
        <v>1.0070285245277251</v>
      </c>
      <c r="W81" s="73">
        <v>1.533116955711799</v>
      </c>
      <c r="X81" s="73">
        <v>1.500731846942444</v>
      </c>
      <c r="Y81" s="73">
        <v>0.62505106827670842</v>
      </c>
      <c r="AB81" s="14">
        <f t="shared" si="12"/>
        <v>1811120</v>
      </c>
      <c r="AC81" s="14">
        <f t="shared" si="9"/>
        <v>61398.6</v>
      </c>
      <c r="AD81" s="14">
        <f t="shared" si="9"/>
        <v>51100.3</v>
      </c>
      <c r="AE81" s="14">
        <f t="shared" si="9"/>
        <v>11042.4</v>
      </c>
      <c r="AF81" s="14"/>
      <c r="AG81" s="14"/>
      <c r="AH81" s="14">
        <f t="shared" si="9"/>
        <v>1882160</v>
      </c>
      <c r="AI81" s="14">
        <f t="shared" si="9"/>
        <v>24512.5</v>
      </c>
      <c r="AJ81" s="14">
        <f t="shared" si="9"/>
        <v>27175.199999999997</v>
      </c>
    </row>
    <row r="82" spans="1:36">
      <c r="B82" s="24" t="s">
        <v>98</v>
      </c>
      <c r="C82" s="14">
        <f t="shared" si="10"/>
        <v>330080.3262799324</v>
      </c>
      <c r="D82" s="14">
        <f t="shared" si="13"/>
        <v>8869.1985366147055</v>
      </c>
      <c r="E82" s="14">
        <f t="shared" si="13"/>
        <v>7093.6555902985092</v>
      </c>
      <c r="F82" s="14">
        <f t="shared" si="13"/>
        <v>1502.3874260197729</v>
      </c>
      <c r="G82" s="14"/>
      <c r="H82" s="74"/>
      <c r="I82" s="14">
        <f t="shared" si="11"/>
        <v>346094.6338128944</v>
      </c>
      <c r="J82" s="14">
        <f t="shared" si="14"/>
        <v>3781.5820636673457</v>
      </c>
      <c r="K82" s="14">
        <f t="shared" si="15"/>
        <v>4327.8891009976533</v>
      </c>
      <c r="L82" s="14">
        <f t="shared" si="16"/>
        <v>1067.0360035203862</v>
      </c>
      <c r="P82" s="73">
        <v>1.1453376422228019</v>
      </c>
      <c r="Q82" s="73">
        <v>1.3593048996764561</v>
      </c>
      <c r="R82" s="73">
        <v>1.3841182531723348</v>
      </c>
      <c r="S82" s="73">
        <v>1.3921058290196506</v>
      </c>
      <c r="T82" s="73"/>
      <c r="U82" s="73"/>
      <c r="V82" s="73">
        <v>1.1744350024760295</v>
      </c>
      <c r="W82" s="73">
        <v>1.6904589833787924</v>
      </c>
      <c r="X82" s="73">
        <v>1.5936254300591359</v>
      </c>
      <c r="Y82" s="73">
        <v>0.59402905475315237</v>
      </c>
      <c r="AB82" s="14">
        <f t="shared" si="12"/>
        <v>1514130</v>
      </c>
      <c r="AC82" s="14">
        <f t="shared" si="9"/>
        <v>40684.400000000009</v>
      </c>
      <c r="AD82" s="14">
        <f t="shared" si="9"/>
        <v>32539.699999999997</v>
      </c>
      <c r="AE82" s="14">
        <f t="shared" si="9"/>
        <v>6891.68</v>
      </c>
      <c r="AF82" s="14"/>
      <c r="AG82" s="14"/>
      <c r="AH82" s="14">
        <f t="shared" si="9"/>
        <v>1587590</v>
      </c>
      <c r="AI82" s="14">
        <f t="shared" si="9"/>
        <v>17346.700000000004</v>
      </c>
      <c r="AJ82" s="14">
        <f t="shared" si="9"/>
        <v>19852.7</v>
      </c>
    </row>
    <row r="83" spans="1:36">
      <c r="B83" s="24" t="s">
        <v>99</v>
      </c>
      <c r="C83" s="14">
        <f t="shared" si="10"/>
        <v>270112.92459783127</v>
      </c>
      <c r="D83" s="14">
        <f t="shared" si="13"/>
        <v>5924.1940105428275</v>
      </c>
      <c r="E83" s="14">
        <f t="shared" si="13"/>
        <v>4601.0659121097824</v>
      </c>
      <c r="F83" s="14">
        <f t="shared" si="13"/>
        <v>947.53045352258971</v>
      </c>
      <c r="G83" s="14"/>
      <c r="H83" s="74"/>
      <c r="I83" s="14">
        <f t="shared" si="11"/>
        <v>292093.83011538797</v>
      </c>
      <c r="J83" s="14">
        <f t="shared" si="14"/>
        <v>2697.4648991215649</v>
      </c>
      <c r="K83" s="14">
        <f t="shared" si="15"/>
        <v>3218.1795047404803</v>
      </c>
      <c r="L83" s="14">
        <f t="shared" si="16"/>
        <v>802.40969283862273</v>
      </c>
      <c r="P83" s="73">
        <v>1.279959310686843</v>
      </c>
      <c r="Q83" s="73">
        <v>1.4911719906490142</v>
      </c>
      <c r="R83" s="73">
        <v>1.4946792103454336</v>
      </c>
      <c r="S83" s="73">
        <v>1.4244790885311487</v>
      </c>
      <c r="T83" s="73"/>
      <c r="U83" s="73"/>
      <c r="V83" s="73">
        <v>1.3046781945079036</v>
      </c>
      <c r="W83" s="73">
        <v>1.9458975846292217</v>
      </c>
      <c r="X83" s="73">
        <v>1.8364548405373193</v>
      </c>
      <c r="Y83" s="73">
        <v>0.63344365149582604</v>
      </c>
      <c r="AB83" s="14">
        <f t="shared" si="12"/>
        <v>1239050</v>
      </c>
      <c r="AC83" s="14">
        <f t="shared" si="9"/>
        <v>27175.200000000004</v>
      </c>
      <c r="AD83" s="14">
        <f t="shared" si="9"/>
        <v>21105.8</v>
      </c>
      <c r="AE83" s="14">
        <f t="shared" si="9"/>
        <v>4346.46</v>
      </c>
      <c r="AF83" s="14"/>
      <c r="AG83" s="14"/>
      <c r="AH83" s="14">
        <f t="shared" si="9"/>
        <v>1339880</v>
      </c>
      <c r="AI83" s="14">
        <f t="shared" si="9"/>
        <v>12373.7</v>
      </c>
      <c r="AJ83" s="14">
        <f t="shared" si="9"/>
        <v>14762.3</v>
      </c>
    </row>
    <row r="84" spans="1:36">
      <c r="B84" s="24" t="s">
        <v>100</v>
      </c>
      <c r="C84" s="14">
        <f t="shared" si="10"/>
        <v>213378.84581058696</v>
      </c>
      <c r="D84" s="14">
        <f t="shared" si="13"/>
        <v>3747.4408301503568</v>
      </c>
      <c r="E84" s="14">
        <f t="shared" si="13"/>
        <v>2919.4138414222125</v>
      </c>
      <c r="F84" s="14">
        <f t="shared" si="13"/>
        <v>563.39455668007122</v>
      </c>
      <c r="G84" s="14"/>
      <c r="H84" s="74"/>
      <c r="I84" s="14">
        <f t="shared" si="11"/>
        <v>235202.39314999664</v>
      </c>
      <c r="J84" s="14">
        <f t="shared" si="14"/>
        <v>1937.7385689601742</v>
      </c>
      <c r="K84" s="14">
        <f t="shared" si="15"/>
        <v>2407.2421098098253</v>
      </c>
      <c r="L84" s="14">
        <f t="shared" si="16"/>
        <v>623.14663365458409</v>
      </c>
      <c r="P84" s="73">
        <v>1.4862078797570939</v>
      </c>
      <c r="Q84" s="73">
        <v>1.642273999266552</v>
      </c>
      <c r="R84" s="73">
        <v>1.5878053885113921</v>
      </c>
      <c r="S84" s="73">
        <v>1.4215961477450723</v>
      </c>
      <c r="T84" s="73"/>
      <c r="U84" s="73"/>
      <c r="V84" s="73">
        <v>1.5351638568193946</v>
      </c>
      <c r="W84" s="73">
        <v>2.2195766842510953</v>
      </c>
      <c r="X84" s="73">
        <v>2.068835731078229</v>
      </c>
      <c r="Y84" s="73">
        <v>0.6518467676311902</v>
      </c>
      <c r="AB84" s="14">
        <f t="shared" si="12"/>
        <v>978802</v>
      </c>
      <c r="AC84" s="14">
        <f t="shared" si="9"/>
        <v>17190.099999999999</v>
      </c>
      <c r="AD84" s="14">
        <f t="shared" si="9"/>
        <v>13391.799999999997</v>
      </c>
      <c r="AE84" s="14">
        <f t="shared" si="9"/>
        <v>2584.38</v>
      </c>
      <c r="AF84" s="14"/>
      <c r="AG84" s="14"/>
      <c r="AH84" s="14">
        <f t="shared" si="9"/>
        <v>1078910</v>
      </c>
      <c r="AI84" s="14">
        <f t="shared" si="9"/>
        <v>8888.7099999999991</v>
      </c>
      <c r="AJ84" s="14">
        <f t="shared" si="9"/>
        <v>11042.4</v>
      </c>
    </row>
    <row r="85" spans="1:36">
      <c r="B85" s="24" t="s">
        <v>101</v>
      </c>
      <c r="C85" s="14">
        <f t="shared" si="10"/>
        <v>164805.41787414296</v>
      </c>
      <c r="D85" s="14">
        <f t="shared" si="13"/>
        <v>2227.9819924078211</v>
      </c>
      <c r="E85" s="14">
        <f t="shared" si="13"/>
        <v>1698.7226878510776</v>
      </c>
      <c r="F85" s="14">
        <f t="shared" si="13"/>
        <v>332.91519413182976</v>
      </c>
      <c r="G85" s="14"/>
      <c r="H85" s="74"/>
      <c r="I85" s="14">
        <f t="shared" si="11"/>
        <v>185675.60684293447</v>
      </c>
      <c r="J85" s="14">
        <f t="shared" si="14"/>
        <v>1348.7321014923782</v>
      </c>
      <c r="K85" s="14">
        <f t="shared" si="15"/>
        <v>1715.7936130869373</v>
      </c>
      <c r="L85" s="14">
        <f t="shared" si="16"/>
        <v>452.42181345968248</v>
      </c>
      <c r="P85" s="73">
        <v>1.8699180177678845</v>
      </c>
      <c r="Q85" s="73">
        <v>2.0282964406955157</v>
      </c>
      <c r="R85" s="73">
        <v>1.9492602554464264</v>
      </c>
      <c r="S85" s="73">
        <v>1.6362370093797001</v>
      </c>
      <c r="T85" s="73"/>
      <c r="U85" s="73"/>
      <c r="V85" s="73">
        <v>2.013426046914192</v>
      </c>
      <c r="W85" s="73">
        <v>2.856044794931528</v>
      </c>
      <c r="X85" s="73">
        <v>2.5646581209580055</v>
      </c>
      <c r="Y85" s="73">
        <v>0.73078897955602362</v>
      </c>
      <c r="AB85" s="14">
        <f t="shared" si="12"/>
        <v>755988</v>
      </c>
      <c r="AC85" s="14">
        <f t="shared" si="9"/>
        <v>10220.099999999999</v>
      </c>
      <c r="AD85" s="14">
        <f t="shared" si="9"/>
        <v>7792.3</v>
      </c>
      <c r="AE85" s="14">
        <f t="shared" si="9"/>
        <v>1527.13</v>
      </c>
      <c r="AF85" s="14"/>
      <c r="AG85" s="14"/>
      <c r="AH85" s="14">
        <f t="shared" si="9"/>
        <v>851723</v>
      </c>
      <c r="AI85" s="14">
        <f t="shared" si="9"/>
        <v>6186.85</v>
      </c>
      <c r="AJ85" s="14">
        <f t="shared" si="9"/>
        <v>7870.62</v>
      </c>
    </row>
    <row r="86" spans="1:36">
      <c r="B86" s="24" t="s">
        <v>102</v>
      </c>
      <c r="C86" s="14">
        <f t="shared" si="10"/>
        <v>121726.71189968944</v>
      </c>
      <c r="D86" s="14">
        <f t="shared" si="13"/>
        <v>1186.5440432043872</v>
      </c>
      <c r="E86" s="14">
        <f t="shared" si="13"/>
        <v>921.91968311511755</v>
      </c>
      <c r="F86" s="14">
        <f t="shared" si="13"/>
        <v>170.72547758742968</v>
      </c>
      <c r="G86" s="14"/>
      <c r="H86" s="74"/>
      <c r="I86" s="14">
        <f t="shared" si="11"/>
        <v>139081.01201458846</v>
      </c>
      <c r="J86" s="14">
        <f t="shared" si="14"/>
        <v>862.16454466004495</v>
      </c>
      <c r="K86" s="14">
        <f t="shared" si="15"/>
        <v>1084.1118713840012</v>
      </c>
      <c r="L86" s="14">
        <f t="shared" si="16"/>
        <v>315.8443131620682</v>
      </c>
      <c r="P86" s="73">
        <v>2.6185938245835225</v>
      </c>
      <c r="Q86" s="73">
        <v>2.8508616463649266</v>
      </c>
      <c r="R86" s="73">
        <v>2.747550620565435</v>
      </c>
      <c r="S86" s="73">
        <v>2.1271958035633536</v>
      </c>
      <c r="T86" s="73"/>
      <c r="U86" s="73"/>
      <c r="V86" s="73">
        <v>2.9620199546698385</v>
      </c>
      <c r="W86" s="73">
        <v>4.2773353424419707</v>
      </c>
      <c r="X86" s="73">
        <v>3.7445690862291721</v>
      </c>
      <c r="Y86" s="73">
        <v>0.96947277680461075</v>
      </c>
      <c r="AB86" s="14">
        <f t="shared" si="12"/>
        <v>558379</v>
      </c>
      <c r="AC86" s="14">
        <f t="shared" si="9"/>
        <v>5442.8599999999988</v>
      </c>
      <c r="AD86" s="14">
        <f t="shared" si="9"/>
        <v>4228.99</v>
      </c>
      <c r="AE86" s="14">
        <f t="shared" si="9"/>
        <v>783.14599999999996</v>
      </c>
      <c r="AF86" s="14"/>
      <c r="AG86" s="14"/>
      <c r="AH86" s="14">
        <f t="shared" si="9"/>
        <v>637986</v>
      </c>
      <c r="AI86" s="14">
        <f t="shared" si="9"/>
        <v>3954.8900000000003</v>
      </c>
      <c r="AJ86" s="14">
        <f t="shared" si="9"/>
        <v>4972.9799999999996</v>
      </c>
    </row>
    <row r="87" spans="1:36">
      <c r="B87" s="24" t="s">
        <v>103</v>
      </c>
      <c r="C87" s="14">
        <f t="shared" si="10"/>
        <v>79401.571475447156</v>
      </c>
      <c r="D87" s="14">
        <f t="shared" si="13"/>
        <v>563.39624519575034</v>
      </c>
      <c r="E87" s="14">
        <f t="shared" si="13"/>
        <v>443.88529709641517</v>
      </c>
      <c r="F87" s="14">
        <f t="shared" si="13"/>
        <v>76.826673251166596</v>
      </c>
      <c r="G87" s="14"/>
      <c r="H87" s="74"/>
      <c r="I87" s="14">
        <f t="shared" si="11"/>
        <v>94121.931178689178</v>
      </c>
      <c r="J87" s="14">
        <f t="shared" si="14"/>
        <v>486.57231450539922</v>
      </c>
      <c r="K87" s="14">
        <f t="shared" si="15"/>
        <v>631.68636466987323</v>
      </c>
      <c r="L87" s="14">
        <f t="shared" si="16"/>
        <v>221.93897050964387</v>
      </c>
      <c r="P87" s="73">
        <v>3.9192567480567639</v>
      </c>
      <c r="Q87" s="73">
        <v>4.1798426391699817</v>
      </c>
      <c r="R87" s="73">
        <v>4.243767796908088</v>
      </c>
      <c r="S87" s="73">
        <v>2.9956491661260962</v>
      </c>
      <c r="T87" s="73"/>
      <c r="U87" s="73"/>
      <c r="V87" s="73">
        <v>4.6796174236396677</v>
      </c>
      <c r="W87" s="73">
        <v>6.6215535495116393</v>
      </c>
      <c r="X87" s="73">
        <v>5.8122280765680419</v>
      </c>
      <c r="Y87" s="73">
        <v>1.2869580479036098</v>
      </c>
      <c r="AB87" s="14">
        <f t="shared" si="12"/>
        <v>364228</v>
      </c>
      <c r="AC87" s="14">
        <f t="shared" si="9"/>
        <v>2584.38</v>
      </c>
      <c r="AD87" s="14">
        <f t="shared" si="9"/>
        <v>2036.1800000000003</v>
      </c>
      <c r="AE87" s="14">
        <f t="shared" si="9"/>
        <v>352.416</v>
      </c>
      <c r="AF87" s="14"/>
      <c r="AG87" s="14"/>
      <c r="AH87" s="14">
        <f t="shared" si="9"/>
        <v>431752</v>
      </c>
      <c r="AI87" s="14">
        <f t="shared" si="9"/>
        <v>2231.9699999999998</v>
      </c>
      <c r="AJ87" s="14">
        <f t="shared" si="9"/>
        <v>2897.6400000000003</v>
      </c>
    </row>
    <row r="88" spans="1:36">
      <c r="B88" s="24" t="s">
        <v>104</v>
      </c>
      <c r="C88" s="14">
        <f t="shared" si="10"/>
        <v>42598.391737553946</v>
      </c>
      <c r="D88" s="14">
        <f t="shared" si="13"/>
        <v>179.26037806694364</v>
      </c>
      <c r="E88" s="14">
        <f t="shared" si="13"/>
        <v>153.65229302171517</v>
      </c>
      <c r="F88" s="14">
        <f t="shared" si="13"/>
        <v>34.144450082810664</v>
      </c>
      <c r="G88" s="14"/>
      <c r="H88" s="74"/>
      <c r="I88" s="14">
        <f t="shared" si="11"/>
        <v>52607.259845400411</v>
      </c>
      <c r="J88" s="14">
        <f t="shared" si="14"/>
        <v>247.55132017397119</v>
      </c>
      <c r="K88" s="14">
        <f t="shared" si="15"/>
        <v>290.2325207710831</v>
      </c>
      <c r="L88" s="14">
        <f t="shared" si="16"/>
        <v>145.10673508368265</v>
      </c>
      <c r="P88" s="73">
        <v>6.3249123699561522</v>
      </c>
      <c r="Q88" s="73">
        <v>6.1923829731312452</v>
      </c>
      <c r="R88" s="73">
        <v>6.2930567450599213</v>
      </c>
      <c r="S88" s="73">
        <v>4.006369064103608</v>
      </c>
      <c r="T88" s="73"/>
      <c r="U88" s="73"/>
      <c r="V88" s="73">
        <v>7.9849964501499633</v>
      </c>
      <c r="W88" s="73">
        <v>10.528634058213449</v>
      </c>
      <c r="X88" s="73">
        <v>8.8633397001903766</v>
      </c>
      <c r="Y88" s="73">
        <v>1.7672633403725533</v>
      </c>
      <c r="AB88" s="14">
        <f t="shared" si="12"/>
        <v>195406</v>
      </c>
      <c r="AC88" s="14">
        <f t="shared" si="9"/>
        <v>822.303</v>
      </c>
      <c r="AD88" s="14">
        <f t="shared" si="9"/>
        <v>704.83100000000002</v>
      </c>
      <c r="AE88" s="14">
        <f t="shared" si="9"/>
        <v>156.62899999999996</v>
      </c>
      <c r="AF88" s="14"/>
      <c r="AG88" s="14"/>
      <c r="AH88" s="14">
        <f t="shared" si="9"/>
        <v>241317</v>
      </c>
      <c r="AI88" s="14">
        <f t="shared" si="9"/>
        <v>1135.56</v>
      </c>
      <c r="AJ88" s="14">
        <f t="shared" si="9"/>
        <v>1331.35</v>
      </c>
    </row>
    <row r="89" spans="1:36">
      <c r="B89" s="24" t="s">
        <v>105</v>
      </c>
      <c r="C89" s="14">
        <f t="shared" si="10"/>
        <v>18904.150862826456</v>
      </c>
      <c r="D89" s="14">
        <f t="shared" ref="D89:D93" si="17">Q66/Q301*D42*Q89</f>
        <v>34.144978894472359</v>
      </c>
      <c r="E89" s="14">
        <f t="shared" ref="E89:E93" si="18">R66/R301*E42*R89</f>
        <v>25.609145175917241</v>
      </c>
      <c r="F89" s="14">
        <f t="shared" ref="F89:F93" si="19">S66/S301*F42*S89</f>
        <v>0</v>
      </c>
      <c r="G89" s="14"/>
      <c r="H89" s="74"/>
      <c r="I89" s="14">
        <f t="shared" si="11"/>
        <v>23322.489254478158</v>
      </c>
      <c r="J89" s="14">
        <f t="shared" si="14"/>
        <v>68.290457593090636</v>
      </c>
      <c r="K89" s="14">
        <f t="shared" si="15"/>
        <v>85.361824006994738</v>
      </c>
      <c r="L89" s="14">
        <f t="shared" si="16"/>
        <v>85.350895699500356</v>
      </c>
      <c r="P89" s="73">
        <v>8.9486392482304122</v>
      </c>
      <c r="Q89" s="73">
        <v>7.4957581283038568</v>
      </c>
      <c r="R89" s="73">
        <v>7.0417029465562031</v>
      </c>
      <c r="S89" s="73">
        <v>1</v>
      </c>
      <c r="T89" s="73"/>
      <c r="U89" s="73"/>
      <c r="V89" s="73">
        <v>12.246549231510629</v>
      </c>
      <c r="W89" s="73">
        <v>14.07497325656275</v>
      </c>
      <c r="X89" s="73">
        <v>11.135542860711606</v>
      </c>
      <c r="Y89" s="73">
        <v>2.0437136866523913</v>
      </c>
      <c r="AB89" s="14">
        <f t="shared" si="12"/>
        <v>86715.9</v>
      </c>
      <c r="AC89" s="14">
        <f t="shared" ref="AC89:AC93" si="20">SUM(D66,D89)</f>
        <v>156.62899999999999</v>
      </c>
      <c r="AD89" s="14">
        <f t="shared" ref="AD89:AD93" si="21">SUM(E66,E89)</f>
        <v>117.47199999999998</v>
      </c>
      <c r="AE89" s="14">
        <f t="shared" ref="AE89:AE93" si="22">SUM(F66,F89)</f>
        <v>0</v>
      </c>
      <c r="AF89" s="14"/>
      <c r="AG89" s="14"/>
      <c r="AH89" s="14">
        <f t="shared" ref="AH89:AH93" si="23">SUM(I66,I89)</f>
        <v>106983.00000000001</v>
      </c>
      <c r="AI89" s="14">
        <f t="shared" ref="AI89:AI93" si="24">SUM(J66,J89)</f>
        <v>313.25799999999998</v>
      </c>
      <c r="AJ89" s="14">
        <f t="shared" ref="AJ89:AJ93" si="25">SUM(K66,K89)</f>
        <v>391.57299999999998</v>
      </c>
    </row>
    <row r="90" spans="1:36">
      <c r="B90" s="24" t="s">
        <v>106</v>
      </c>
      <c r="C90" s="14">
        <f t="shared" si="10"/>
        <v>5586.1845238095248</v>
      </c>
      <c r="D90" s="14">
        <f t="shared" si="17"/>
        <v>0</v>
      </c>
      <c r="E90" s="14">
        <f t="shared" si="18"/>
        <v>0</v>
      </c>
      <c r="F90" s="14">
        <f t="shared" si="19"/>
        <v>0</v>
      </c>
      <c r="G90" s="14"/>
      <c r="H90" s="74"/>
      <c r="I90" s="14">
        <f t="shared" si="11"/>
        <v>7187.6713923091493</v>
      </c>
      <c r="J90" s="14">
        <f t="shared" si="14"/>
        <v>25.60887955770173</v>
      </c>
      <c r="K90" s="14">
        <f t="shared" si="15"/>
        <v>25.605751434034413</v>
      </c>
      <c r="L90" s="14">
        <f t="shared" si="16"/>
        <v>25.601382129904387</v>
      </c>
      <c r="P90" s="73">
        <v>10.991702741702742</v>
      </c>
      <c r="Q90" s="73">
        <v>1</v>
      </c>
      <c r="R90" s="73">
        <v>1</v>
      </c>
      <c r="S90" s="73">
        <v>1</v>
      </c>
      <c r="T90" s="73"/>
      <c r="U90" s="73"/>
      <c r="V90" s="73">
        <v>17.508393635158175</v>
      </c>
      <c r="W90" s="73">
        <v>21.07136762544615</v>
      </c>
      <c r="X90" s="73">
        <v>15.644396716555679</v>
      </c>
      <c r="Y90" s="73">
        <v>2.4632426640290142</v>
      </c>
      <c r="AB90" s="14">
        <f t="shared" si="12"/>
        <v>25624</v>
      </c>
      <c r="AC90" s="14">
        <f t="shared" si="20"/>
        <v>0</v>
      </c>
      <c r="AD90" s="14">
        <f t="shared" si="21"/>
        <v>0</v>
      </c>
      <c r="AE90" s="14">
        <f t="shared" si="22"/>
        <v>0</v>
      </c>
      <c r="AF90" s="14"/>
      <c r="AG90" s="14"/>
      <c r="AH90" s="14">
        <f t="shared" si="23"/>
        <v>32971.600000000006</v>
      </c>
      <c r="AI90" s="14">
        <f t="shared" si="24"/>
        <v>117.47199999999999</v>
      </c>
      <c r="AJ90" s="14">
        <f t="shared" si="25"/>
        <v>117.47199999999998</v>
      </c>
    </row>
    <row r="91" spans="1:36">
      <c r="B91" s="24" t="s">
        <v>107</v>
      </c>
      <c r="C91" s="14">
        <f t="shared" si="10"/>
        <v>1271.7621427976339</v>
      </c>
      <c r="D91" s="14">
        <f t="shared" si="17"/>
        <v>0</v>
      </c>
      <c r="E91" s="14">
        <f t="shared" si="18"/>
        <v>0</v>
      </c>
      <c r="F91" s="14">
        <f t="shared" si="19"/>
        <v>0</v>
      </c>
      <c r="G91" s="14"/>
      <c r="H91" s="74"/>
      <c r="I91" s="14">
        <f t="shared" si="11"/>
        <v>1728.5099461048508</v>
      </c>
      <c r="J91" s="14">
        <f t="shared" si="14"/>
        <v>0</v>
      </c>
      <c r="K91" s="14">
        <f t="shared" si="15"/>
        <v>0</v>
      </c>
      <c r="L91" s="14">
        <f t="shared" si="16"/>
        <v>8.5373406820950066</v>
      </c>
      <c r="P91" s="73">
        <v>8.8164775472798471</v>
      </c>
      <c r="Q91" s="73">
        <v>1</v>
      </c>
      <c r="R91" s="73">
        <v>1</v>
      </c>
      <c r="S91" s="73">
        <v>1</v>
      </c>
      <c r="T91" s="73"/>
      <c r="U91" s="73"/>
      <c r="V91" s="73">
        <v>16.795106740393365</v>
      </c>
      <c r="W91" s="73">
        <v>1</v>
      </c>
      <c r="X91" s="73">
        <v>1</v>
      </c>
      <c r="Y91" s="73">
        <v>1.9280606577344701</v>
      </c>
      <c r="AB91" s="14">
        <f t="shared" si="12"/>
        <v>5833</v>
      </c>
      <c r="AC91" s="14">
        <f t="shared" si="20"/>
        <v>0</v>
      </c>
      <c r="AD91" s="14">
        <f t="shared" si="21"/>
        <v>0</v>
      </c>
      <c r="AE91" s="14">
        <f t="shared" si="22"/>
        <v>0</v>
      </c>
      <c r="AF91" s="14"/>
      <c r="AG91" s="14"/>
      <c r="AH91" s="14">
        <f t="shared" si="23"/>
        <v>7927.84</v>
      </c>
      <c r="AI91" s="14">
        <f t="shared" si="24"/>
        <v>0</v>
      </c>
      <c r="AJ91" s="14">
        <f t="shared" si="25"/>
        <v>0</v>
      </c>
    </row>
    <row r="92" spans="1:36">
      <c r="B92" s="24" t="s">
        <v>108</v>
      </c>
      <c r="C92" s="14">
        <f t="shared" si="10"/>
        <v>190.4871794871795</v>
      </c>
      <c r="D92" s="14">
        <f t="shared" si="17"/>
        <v>0</v>
      </c>
      <c r="E92" s="14">
        <f t="shared" si="18"/>
        <v>0</v>
      </c>
      <c r="F92" s="14">
        <f t="shared" si="19"/>
        <v>0</v>
      </c>
      <c r="G92" s="14"/>
      <c r="H92" s="74"/>
      <c r="I92" s="14">
        <f t="shared" si="11"/>
        <v>265.71798029556646</v>
      </c>
      <c r="J92" s="14">
        <f t="shared" si="14"/>
        <v>0</v>
      </c>
      <c r="K92" s="14">
        <f t="shared" si="15"/>
        <v>0</v>
      </c>
      <c r="L92" s="14">
        <f t="shared" si="16"/>
        <v>0</v>
      </c>
      <c r="P92" s="73">
        <v>5.8347571428571436</v>
      </c>
      <c r="Q92" s="73">
        <v>1</v>
      </c>
      <c r="R92" s="73">
        <v>1</v>
      </c>
      <c r="S92" s="73">
        <v>1</v>
      </c>
      <c r="T92" s="73"/>
      <c r="U92" s="73"/>
      <c r="V92" s="73">
        <v>13.597992610837437</v>
      </c>
      <c r="W92" s="73">
        <v>1</v>
      </c>
      <c r="X92" s="73">
        <v>1</v>
      </c>
      <c r="Y92" s="73">
        <v>1</v>
      </c>
      <c r="AB92" s="14">
        <f t="shared" si="12"/>
        <v>874</v>
      </c>
      <c r="AC92" s="14">
        <f t="shared" si="20"/>
        <v>0</v>
      </c>
      <c r="AD92" s="14">
        <f t="shared" si="21"/>
        <v>0</v>
      </c>
      <c r="AE92" s="14">
        <f t="shared" si="22"/>
        <v>0</v>
      </c>
      <c r="AF92" s="14"/>
      <c r="AG92" s="14"/>
      <c r="AH92" s="14">
        <f t="shared" si="23"/>
        <v>1219</v>
      </c>
      <c r="AI92" s="14">
        <f t="shared" si="24"/>
        <v>0</v>
      </c>
      <c r="AJ92" s="14">
        <f t="shared" si="25"/>
        <v>0</v>
      </c>
    </row>
    <row r="93" spans="1:36">
      <c r="B93" s="24" t="s">
        <v>109</v>
      </c>
      <c r="C93" s="14">
        <f t="shared" si="10"/>
        <v>17.441441441441441</v>
      </c>
      <c r="D93" s="14">
        <f t="shared" si="17"/>
        <v>0</v>
      </c>
      <c r="E93" s="14">
        <f t="shared" si="18"/>
        <v>0</v>
      </c>
      <c r="F93" s="14">
        <f t="shared" si="19"/>
        <v>0</v>
      </c>
      <c r="G93" s="14"/>
      <c r="H93" s="74"/>
      <c r="I93" s="14">
        <f t="shared" si="11"/>
        <v>30.934947049924357</v>
      </c>
      <c r="J93" s="14">
        <f t="shared" si="14"/>
        <v>0</v>
      </c>
      <c r="K93" s="14">
        <f t="shared" si="15"/>
        <v>0</v>
      </c>
      <c r="L93" s="14">
        <v>0</v>
      </c>
      <c r="P93" s="73">
        <v>2.8897801801801801</v>
      </c>
      <c r="Q93" s="73">
        <v>1</v>
      </c>
      <c r="R93" s="73">
        <v>1</v>
      </c>
      <c r="S93" s="73">
        <v>1</v>
      </c>
      <c r="T93" s="73"/>
      <c r="U93" s="73"/>
      <c r="V93" s="73">
        <v>6.5525506807866867</v>
      </c>
      <c r="W93" s="73">
        <v>1</v>
      </c>
      <c r="X93" s="73">
        <v>1</v>
      </c>
      <c r="Y93" s="73">
        <v>1</v>
      </c>
      <c r="AB93" s="14">
        <f t="shared" si="12"/>
        <v>80</v>
      </c>
      <c r="AC93" s="14">
        <f t="shared" si="20"/>
        <v>0</v>
      </c>
      <c r="AD93" s="14">
        <f t="shared" si="21"/>
        <v>0</v>
      </c>
      <c r="AE93" s="14">
        <f t="shared" si="22"/>
        <v>0</v>
      </c>
      <c r="AF93" s="14"/>
      <c r="AG93" s="14"/>
      <c r="AH93" s="14">
        <f t="shared" si="23"/>
        <v>142</v>
      </c>
      <c r="AI93" s="14">
        <f t="shared" si="24"/>
        <v>0</v>
      </c>
      <c r="AJ93" s="14">
        <f t="shared" si="25"/>
        <v>0</v>
      </c>
    </row>
    <row r="94" spans="1:36">
      <c r="P94" s="73"/>
      <c r="Q94" s="73"/>
      <c r="R94" s="73"/>
      <c r="S94" s="73"/>
      <c r="T94" s="73"/>
      <c r="U94" s="73"/>
      <c r="V94" s="73"/>
      <c r="W94" s="73"/>
      <c r="X94" s="73"/>
      <c r="Y94" s="73"/>
    </row>
    <row r="95" spans="1:36" ht="18">
      <c r="A95" s="82" t="s">
        <v>418</v>
      </c>
      <c r="B95" s="82"/>
      <c r="C95" s="82"/>
      <c r="D95" s="82"/>
      <c r="E95" s="82"/>
      <c r="F95" s="82"/>
      <c r="G95" s="82"/>
      <c r="H95" s="82"/>
      <c r="I95" s="82"/>
      <c r="J95" s="82"/>
      <c r="K95" s="82"/>
      <c r="L95" s="82"/>
      <c r="P95" s="73"/>
      <c r="Q95" s="73"/>
      <c r="R95" s="73"/>
      <c r="S95" s="73"/>
      <c r="T95" s="73"/>
      <c r="U95" s="73"/>
      <c r="V95" s="73"/>
      <c r="W95" s="73"/>
      <c r="X95" s="73"/>
      <c r="Y95" s="73"/>
    </row>
    <row r="96" spans="1:36" ht="18">
      <c r="A96" s="25" t="s">
        <v>120</v>
      </c>
      <c r="B96" s="26" t="s">
        <v>110</v>
      </c>
      <c r="C96" s="13" t="s">
        <v>121</v>
      </c>
      <c r="D96" s="27" t="s">
        <v>122</v>
      </c>
      <c r="E96" s="27" t="s">
        <v>113</v>
      </c>
      <c r="F96" s="27" t="s">
        <v>123</v>
      </c>
      <c r="G96" s="27"/>
      <c r="H96" s="26" t="s">
        <v>111</v>
      </c>
      <c r="I96" s="13" t="s">
        <v>121</v>
      </c>
      <c r="J96" s="27" t="s">
        <v>122</v>
      </c>
      <c r="K96" s="27" t="s">
        <v>113</v>
      </c>
      <c r="L96" s="27" t="s">
        <v>123</v>
      </c>
      <c r="O96" t="s">
        <v>110</v>
      </c>
      <c r="P96" s="73" t="s">
        <v>121</v>
      </c>
      <c r="Q96" s="73" t="s">
        <v>122</v>
      </c>
      <c r="R96" s="73" t="s">
        <v>113</v>
      </c>
      <c r="S96" s="73" t="s">
        <v>123</v>
      </c>
      <c r="T96" s="73"/>
      <c r="U96" s="73" t="s">
        <v>111</v>
      </c>
      <c r="V96" s="73" t="s">
        <v>121</v>
      </c>
      <c r="W96" s="73" t="s">
        <v>122</v>
      </c>
      <c r="X96" s="73" t="s">
        <v>113</v>
      </c>
      <c r="Y96" s="73" t="s">
        <v>123</v>
      </c>
    </row>
    <row r="97" spans="2:25">
      <c r="B97" t="s">
        <v>124</v>
      </c>
      <c r="C97" s="14">
        <f>P97/P285*C3*P120</f>
        <v>41183873.599999994</v>
      </c>
      <c r="D97" s="14">
        <v>0</v>
      </c>
      <c r="E97" s="14">
        <v>0</v>
      </c>
      <c r="F97" s="14">
        <v>0</v>
      </c>
      <c r="G97" s="14"/>
      <c r="H97" s="14"/>
      <c r="I97" s="14">
        <f>V97/V285*I3*V120</f>
        <v>39106334.199999996</v>
      </c>
      <c r="J97" s="14">
        <v>0</v>
      </c>
      <c r="K97" s="14">
        <v>0</v>
      </c>
      <c r="L97" s="14">
        <v>0</v>
      </c>
      <c r="P97" s="14">
        <v>52664800</v>
      </c>
      <c r="Q97" s="14">
        <v>0</v>
      </c>
      <c r="R97" s="14">
        <v>0</v>
      </c>
      <c r="S97" s="14">
        <v>0</v>
      </c>
      <c r="T97" s="14"/>
      <c r="U97" s="14"/>
      <c r="V97" s="14">
        <v>50008100</v>
      </c>
      <c r="W97" s="14">
        <v>0</v>
      </c>
      <c r="X97" s="14">
        <v>0</v>
      </c>
      <c r="Y97" s="14">
        <v>0</v>
      </c>
    </row>
    <row r="98" spans="2:25">
      <c r="B98" s="24" t="s">
        <v>125</v>
      </c>
      <c r="C98" s="14">
        <f t="shared" ref="C98:C117" si="26">P98/P286*C4*P121</f>
        <v>32028374.164655853</v>
      </c>
      <c r="D98" s="14">
        <v>0</v>
      </c>
      <c r="E98" s="14">
        <v>0</v>
      </c>
      <c r="F98" s="14">
        <v>0</v>
      </c>
      <c r="G98" s="14"/>
      <c r="H98" s="74"/>
      <c r="I98" s="14">
        <f t="shared" ref="I98:I117" si="27">V98/V286*I4*V121</f>
        <v>30135152.075299893</v>
      </c>
      <c r="J98" s="14">
        <v>0</v>
      </c>
      <c r="K98" s="14">
        <v>0</v>
      </c>
      <c r="L98" s="14">
        <v>0</v>
      </c>
      <c r="P98" s="14">
        <v>40957000</v>
      </c>
      <c r="Q98" s="14">
        <v>0</v>
      </c>
      <c r="R98" s="14">
        <v>0</v>
      </c>
      <c r="S98" s="14">
        <v>0</v>
      </c>
      <c r="T98" s="14"/>
      <c r="U98" s="14"/>
      <c r="V98" s="14">
        <v>38536000</v>
      </c>
      <c r="W98" s="14">
        <v>0</v>
      </c>
      <c r="X98" s="14">
        <v>0</v>
      </c>
      <c r="Y98" s="14">
        <v>0</v>
      </c>
    </row>
    <row r="99" spans="2:25">
      <c r="B99" s="24" t="s">
        <v>91</v>
      </c>
      <c r="C99" s="14">
        <f t="shared" si="26"/>
        <v>25472555.353061568</v>
      </c>
      <c r="D99" s="14">
        <f t="shared" ref="D99:F112" si="28">Q99/Q287*D5*Q122</f>
        <v>4763435.6735441806</v>
      </c>
      <c r="E99" s="14">
        <v>0</v>
      </c>
      <c r="F99" s="14">
        <v>0</v>
      </c>
      <c r="G99" s="14"/>
      <c r="H99" s="74"/>
      <c r="I99" s="14">
        <f t="shared" si="27"/>
        <v>25923847.519152097</v>
      </c>
      <c r="J99" s="14">
        <f t="shared" ref="J99:J117" si="29">W99/W287*J5*W122</f>
        <v>2269817.6545157181</v>
      </c>
      <c r="K99" s="14">
        <v>0</v>
      </c>
      <c r="L99" s="14">
        <v>0</v>
      </c>
      <c r="P99" s="14">
        <v>32573600</v>
      </c>
      <c r="Q99" s="14">
        <v>6091350</v>
      </c>
      <c r="R99" s="14">
        <v>0</v>
      </c>
      <c r="S99" s="14">
        <v>0</v>
      </c>
      <c r="T99" s="14"/>
      <c r="U99" s="14"/>
      <c r="V99" s="14">
        <v>33150700</v>
      </c>
      <c r="W99" s="14">
        <v>2902580</v>
      </c>
      <c r="X99" s="14">
        <v>0</v>
      </c>
      <c r="Y99" s="14">
        <v>0</v>
      </c>
    </row>
    <row r="100" spans="2:25">
      <c r="B100" s="24" t="s">
        <v>92</v>
      </c>
      <c r="C100" s="14">
        <f t="shared" si="26"/>
        <v>12925443.238458917</v>
      </c>
      <c r="D100" s="14">
        <f t="shared" si="28"/>
        <v>9756622.9364483077</v>
      </c>
      <c r="E100" s="14">
        <f t="shared" si="28"/>
        <v>5187248.3531525088</v>
      </c>
      <c r="F100" s="14">
        <v>0</v>
      </c>
      <c r="G100" s="14"/>
      <c r="H100" s="74"/>
      <c r="I100" s="14">
        <f t="shared" si="27"/>
        <v>17849462.890124619</v>
      </c>
      <c r="J100" s="14">
        <f t="shared" si="29"/>
        <v>5700529.6479252186</v>
      </c>
      <c r="K100" s="14">
        <f t="shared" ref="K100:K117" si="30">X100/X288*K6*X123</f>
        <v>2621060.5665658307</v>
      </c>
      <c r="L100" s="14">
        <v>0</v>
      </c>
      <c r="P100" s="14">
        <v>16528700</v>
      </c>
      <c r="Q100" s="14">
        <v>12476500</v>
      </c>
      <c r="R100" s="14">
        <v>6633310</v>
      </c>
      <c r="S100" s="14">
        <v>0</v>
      </c>
      <c r="T100" s="14"/>
      <c r="U100" s="14"/>
      <c r="V100" s="14">
        <v>22825400</v>
      </c>
      <c r="W100" s="14">
        <v>7289680</v>
      </c>
      <c r="X100" s="14">
        <v>3351740</v>
      </c>
      <c r="Y100" s="14">
        <v>0</v>
      </c>
    </row>
    <row r="101" spans="2:25">
      <c r="B101" s="24" t="s">
        <v>93</v>
      </c>
      <c r="C101" s="14">
        <f t="shared" si="26"/>
        <v>12831212.51842008</v>
      </c>
      <c r="D101" s="14">
        <f t="shared" si="28"/>
        <v>6341089.5375922676</v>
      </c>
      <c r="E101" s="14">
        <f t="shared" si="28"/>
        <v>5187248.2500761282</v>
      </c>
      <c r="F101" s="14">
        <f t="shared" si="28"/>
        <v>278854.98083357722</v>
      </c>
      <c r="G101" s="14"/>
      <c r="H101" s="74"/>
      <c r="I101" s="14">
        <f t="shared" si="27"/>
        <v>16810654.011849802</v>
      </c>
      <c r="J101" s="14">
        <f t="shared" si="29"/>
        <v>3547339.5214139777</v>
      </c>
      <c r="K101" s="14">
        <f t="shared" si="30"/>
        <v>2621060.5615689852</v>
      </c>
      <c r="L101" s="14">
        <f t="shared" ref="L101:L116" si="31">Y101/Y289*L7*Y124</f>
        <v>74744.97019792744</v>
      </c>
      <c r="P101" s="14">
        <v>16408200</v>
      </c>
      <c r="Q101" s="14">
        <v>8108810</v>
      </c>
      <c r="R101" s="14">
        <v>6633310</v>
      </c>
      <c r="S101" s="14">
        <v>356592</v>
      </c>
      <c r="T101" s="14"/>
      <c r="U101" s="14"/>
      <c r="V101" s="14">
        <v>21497000</v>
      </c>
      <c r="W101" s="14">
        <v>4536240</v>
      </c>
      <c r="X101" s="14">
        <v>3351740</v>
      </c>
      <c r="Y101" s="14">
        <v>95581.8</v>
      </c>
    </row>
    <row r="102" spans="2:25">
      <c r="B102" s="24" t="s">
        <v>94</v>
      </c>
      <c r="C102" s="14">
        <f t="shared" si="26"/>
        <v>12881416.981833192</v>
      </c>
      <c r="D102" s="14">
        <f t="shared" si="28"/>
        <v>4993163.6568054073</v>
      </c>
      <c r="E102" s="14">
        <f t="shared" si="28"/>
        <v>3378529.1828508726</v>
      </c>
      <c r="F102" s="14">
        <f t="shared" si="28"/>
        <v>151451.46705487138</v>
      </c>
      <c r="G102" s="14"/>
      <c r="H102" s="74"/>
      <c r="I102" s="14">
        <f t="shared" si="27"/>
        <v>16094029.386430278</v>
      </c>
      <c r="J102" s="14">
        <f t="shared" si="29"/>
        <v>2362844.3600532552</v>
      </c>
      <c r="K102" s="14">
        <f t="shared" si="30"/>
        <v>1809743.5681883418</v>
      </c>
      <c r="L102" s="14">
        <f t="shared" si="31"/>
        <v>45622.967956835375</v>
      </c>
      <c r="P102" s="14">
        <v>16472400</v>
      </c>
      <c r="Q102" s="14">
        <v>6385120</v>
      </c>
      <c r="R102" s="14">
        <v>4320370</v>
      </c>
      <c r="S102" s="14">
        <v>193672</v>
      </c>
      <c r="T102" s="14"/>
      <c r="U102" s="14"/>
      <c r="V102" s="14">
        <v>20580600</v>
      </c>
      <c r="W102" s="14">
        <v>3021540</v>
      </c>
      <c r="X102" s="14">
        <v>2314250</v>
      </c>
      <c r="Y102" s="14">
        <v>58341.4</v>
      </c>
    </row>
    <row r="103" spans="2:25">
      <c r="B103" s="24" t="s">
        <v>95</v>
      </c>
      <c r="C103" s="14">
        <f t="shared" si="26"/>
        <v>11825326.027835533</v>
      </c>
      <c r="D103" s="14">
        <f t="shared" si="28"/>
        <v>4314317.5071168067</v>
      </c>
      <c r="E103" s="14">
        <f t="shared" si="28"/>
        <v>2197709.2866702722</v>
      </c>
      <c r="F103" s="14">
        <f t="shared" si="28"/>
        <v>331640.68133578059</v>
      </c>
      <c r="G103" s="14"/>
      <c r="H103" s="74"/>
      <c r="I103" s="14">
        <f t="shared" si="27"/>
        <v>14867227.792526139</v>
      </c>
      <c r="J103" s="14">
        <f t="shared" si="29"/>
        <v>1619404.7440642493</v>
      </c>
      <c r="K103" s="14">
        <f t="shared" si="30"/>
        <v>1209308.2109442085</v>
      </c>
      <c r="L103" s="14">
        <f t="shared" si="31"/>
        <v>83570.798718124526</v>
      </c>
      <c r="P103" s="14">
        <v>15121900</v>
      </c>
      <c r="Q103" s="14">
        <v>5517030</v>
      </c>
      <c r="R103" s="14">
        <v>2810370</v>
      </c>
      <c r="S103" s="14">
        <v>424093</v>
      </c>
      <c r="T103" s="14"/>
      <c r="U103" s="14"/>
      <c r="V103" s="14">
        <v>19011800</v>
      </c>
      <c r="W103" s="14">
        <v>2070850</v>
      </c>
      <c r="X103" s="14">
        <v>1546430</v>
      </c>
      <c r="Y103" s="14">
        <v>106868</v>
      </c>
    </row>
    <row r="104" spans="2:25">
      <c r="B104" s="24" t="s">
        <v>96</v>
      </c>
      <c r="C104" s="14">
        <f t="shared" si="26"/>
        <v>11254465.779115099</v>
      </c>
      <c r="D104" s="14">
        <f t="shared" si="28"/>
        <v>3677511.5633067102</v>
      </c>
      <c r="E104" s="14">
        <f t="shared" si="28"/>
        <v>1728470.3101915645</v>
      </c>
      <c r="F104" s="14">
        <f t="shared" si="28"/>
        <v>270582.95392883965</v>
      </c>
      <c r="G104" s="14"/>
      <c r="H104" s="74"/>
      <c r="I104" s="14">
        <f t="shared" si="27"/>
        <v>13759368.275081912</v>
      </c>
      <c r="J104" s="14">
        <f t="shared" si="29"/>
        <v>1183298.9766346102</v>
      </c>
      <c r="K104" s="14">
        <f t="shared" si="30"/>
        <v>979314.25195705972</v>
      </c>
      <c r="L104" s="14">
        <f t="shared" si="31"/>
        <v>63786.982770635623</v>
      </c>
      <c r="P104" s="14">
        <v>14391900</v>
      </c>
      <c r="Q104" s="14">
        <v>4702700</v>
      </c>
      <c r="R104" s="14">
        <v>2210320</v>
      </c>
      <c r="S104" s="14">
        <v>346014</v>
      </c>
      <c r="T104" s="14"/>
      <c r="U104" s="14"/>
      <c r="V104" s="14">
        <v>17595100</v>
      </c>
      <c r="W104" s="14">
        <v>1513170</v>
      </c>
      <c r="X104" s="14">
        <v>1252320</v>
      </c>
      <c r="Y104" s="14">
        <v>81569</v>
      </c>
    </row>
    <row r="105" spans="2:25">
      <c r="B105" s="24" t="s">
        <v>97</v>
      </c>
      <c r="C105" s="14">
        <f t="shared" si="26"/>
        <v>10361109.011911796</v>
      </c>
      <c r="D105" s="14">
        <f t="shared" si="28"/>
        <v>2965836.8687724462</v>
      </c>
      <c r="E105" s="14">
        <f t="shared" si="28"/>
        <v>1411455.2947438357</v>
      </c>
      <c r="F105" s="14">
        <f t="shared" si="28"/>
        <v>231739.39324756499</v>
      </c>
      <c r="G105" s="14"/>
      <c r="H105" s="74"/>
      <c r="I105" s="14">
        <f t="shared" si="27"/>
        <v>12566270.554210275</v>
      </c>
      <c r="J105" s="14">
        <f t="shared" si="29"/>
        <v>891268.95581156085</v>
      </c>
      <c r="K105" s="14">
        <f t="shared" si="30"/>
        <v>740286.53982305527</v>
      </c>
      <c r="L105" s="14">
        <f t="shared" si="31"/>
        <v>46006.794513610817</v>
      </c>
      <c r="P105" s="14">
        <v>13249500</v>
      </c>
      <c r="Q105" s="14">
        <v>3792630</v>
      </c>
      <c r="R105" s="14">
        <v>1804930</v>
      </c>
      <c r="S105" s="14">
        <v>296342</v>
      </c>
      <c r="T105" s="14"/>
      <c r="U105" s="14"/>
      <c r="V105" s="14">
        <v>16069400</v>
      </c>
      <c r="W105" s="14">
        <v>1139730</v>
      </c>
      <c r="X105" s="14">
        <v>946658</v>
      </c>
      <c r="Y105" s="14">
        <v>58832.2</v>
      </c>
    </row>
    <row r="106" spans="2:25">
      <c r="B106" s="24" t="s">
        <v>98</v>
      </c>
      <c r="C106" s="14">
        <f t="shared" si="26"/>
        <v>9283043.9075664245</v>
      </c>
      <c r="D106" s="14">
        <f t="shared" si="28"/>
        <v>2231437.0465281522</v>
      </c>
      <c r="E106" s="14">
        <f t="shared" si="28"/>
        <v>1180100.5140733419</v>
      </c>
      <c r="F106" s="14">
        <f t="shared" si="28"/>
        <v>192767.64957768933</v>
      </c>
      <c r="G106" s="14"/>
      <c r="H106" s="74"/>
      <c r="I106" s="14">
        <f t="shared" si="27"/>
        <v>10904442.478677025</v>
      </c>
      <c r="J106" s="14">
        <f t="shared" si="29"/>
        <v>694791.28503247525</v>
      </c>
      <c r="K106" s="14">
        <f t="shared" si="30"/>
        <v>563294.91382203763</v>
      </c>
      <c r="L106" s="14">
        <f t="shared" si="31"/>
        <v>34707.583079959455</v>
      </c>
      <c r="P106" s="14">
        <v>11870900</v>
      </c>
      <c r="Q106" s="14">
        <v>2853500</v>
      </c>
      <c r="R106" s="14">
        <v>1509080</v>
      </c>
      <c r="S106" s="14">
        <v>246506</v>
      </c>
      <c r="T106" s="14"/>
      <c r="U106" s="14"/>
      <c r="V106" s="14">
        <v>13944300</v>
      </c>
      <c r="W106" s="14">
        <v>888480</v>
      </c>
      <c r="X106" s="14">
        <v>720326</v>
      </c>
      <c r="Y106" s="14">
        <v>44383.1</v>
      </c>
    </row>
    <row r="107" spans="2:25">
      <c r="B107" s="24" t="s">
        <v>99</v>
      </c>
      <c r="C107" s="14">
        <f t="shared" si="26"/>
        <v>7833528.4011348579</v>
      </c>
      <c r="D107" s="14">
        <f t="shared" si="28"/>
        <v>1682293.1075002037</v>
      </c>
      <c r="E107" s="14">
        <f t="shared" si="28"/>
        <v>917872.41590752988</v>
      </c>
      <c r="F107" s="14">
        <f t="shared" si="28"/>
        <v>157804.37108841573</v>
      </c>
      <c r="G107" s="14"/>
      <c r="H107" s="74"/>
      <c r="I107" s="14">
        <f t="shared" si="27"/>
        <v>9135636.8861838318</v>
      </c>
      <c r="J107" s="14">
        <f t="shared" si="29"/>
        <v>564403.90721032559</v>
      </c>
      <c r="K107" s="14">
        <f t="shared" si="30"/>
        <v>408133.68700547313</v>
      </c>
      <c r="L107" s="14">
        <f t="shared" si="31"/>
        <v>25710.931373692776</v>
      </c>
      <c r="P107" s="14">
        <v>10017300</v>
      </c>
      <c r="Q107" s="14">
        <v>2151270</v>
      </c>
      <c r="R107" s="14">
        <v>1173750</v>
      </c>
      <c r="S107" s="14">
        <v>201796</v>
      </c>
      <c r="T107" s="14"/>
      <c r="U107" s="14"/>
      <c r="V107" s="14">
        <v>11682400</v>
      </c>
      <c r="W107" s="14">
        <v>721744</v>
      </c>
      <c r="X107" s="14">
        <v>521910</v>
      </c>
      <c r="Y107" s="14">
        <v>32878.400000000001</v>
      </c>
    </row>
    <row r="108" spans="2:25">
      <c r="B108" s="24" t="s">
        <v>100</v>
      </c>
      <c r="C108" s="14">
        <f t="shared" si="26"/>
        <v>6409850.5978436181</v>
      </c>
      <c r="D108" s="14">
        <f t="shared" si="28"/>
        <v>1225511.3884171627</v>
      </c>
      <c r="E108" s="14">
        <f t="shared" si="28"/>
        <v>664006.27460598736</v>
      </c>
      <c r="F108" s="14">
        <f t="shared" si="28"/>
        <v>117724.64250369993</v>
      </c>
      <c r="G108" s="14"/>
      <c r="H108" s="74"/>
      <c r="I108" s="14">
        <f t="shared" si="27"/>
        <v>7530245.422633864</v>
      </c>
      <c r="J108" s="14">
        <f t="shared" si="29"/>
        <v>437810.53329245263</v>
      </c>
      <c r="K108" s="14">
        <f t="shared" si="30"/>
        <v>279963.07334538631</v>
      </c>
      <c r="L108" s="14">
        <f t="shared" si="31"/>
        <v>18078.683226699679</v>
      </c>
      <c r="P108" s="14">
        <v>8196740</v>
      </c>
      <c r="Q108" s="14">
        <v>1567150</v>
      </c>
      <c r="R108" s="14">
        <v>849113</v>
      </c>
      <c r="S108" s="14">
        <v>150543</v>
      </c>
      <c r="T108" s="14"/>
      <c r="U108" s="14"/>
      <c r="V108" s="14">
        <v>9629470</v>
      </c>
      <c r="W108" s="14">
        <v>559860</v>
      </c>
      <c r="X108" s="14">
        <v>358009</v>
      </c>
      <c r="Y108" s="14">
        <v>23118.5</v>
      </c>
    </row>
    <row r="109" spans="2:25">
      <c r="B109" s="24" t="s">
        <v>101</v>
      </c>
      <c r="C109" s="14">
        <f t="shared" si="26"/>
        <v>5250551.0191489244</v>
      </c>
      <c r="D109" s="14">
        <f t="shared" si="28"/>
        <v>878303.27885511436</v>
      </c>
      <c r="E109" s="14">
        <f t="shared" si="28"/>
        <v>490553.97032355069</v>
      </c>
      <c r="F109" s="14">
        <f t="shared" si="28"/>
        <v>90862.079013204144</v>
      </c>
      <c r="G109" s="14"/>
      <c r="H109" s="74"/>
      <c r="I109" s="14">
        <f t="shared" si="27"/>
        <v>6376725.2285216106</v>
      </c>
      <c r="J109" s="14">
        <f t="shared" si="29"/>
        <v>375004.28289676295</v>
      </c>
      <c r="K109" s="14">
        <f t="shared" si="30"/>
        <v>202361.31886014581</v>
      </c>
      <c r="L109" s="14">
        <f t="shared" si="31"/>
        <v>13431.103688690006</v>
      </c>
      <c r="P109" s="14">
        <v>6714260</v>
      </c>
      <c r="Q109" s="14">
        <v>1123150</v>
      </c>
      <c r="R109" s="14">
        <v>627307</v>
      </c>
      <c r="S109" s="14">
        <v>116192</v>
      </c>
      <c r="T109" s="14"/>
      <c r="U109" s="14"/>
      <c r="V109" s="14">
        <v>8154380</v>
      </c>
      <c r="W109" s="14">
        <v>479545</v>
      </c>
      <c r="X109" s="14">
        <v>258774</v>
      </c>
      <c r="Y109" s="14">
        <v>17175.3</v>
      </c>
    </row>
    <row r="110" spans="2:25">
      <c r="B110" s="24" t="s">
        <v>102</v>
      </c>
      <c r="C110" s="14">
        <f t="shared" si="26"/>
        <v>3646246.2892964813</v>
      </c>
      <c r="D110" s="14">
        <f t="shared" si="28"/>
        <v>553786.52072184079</v>
      </c>
      <c r="E110" s="14">
        <f t="shared" si="28"/>
        <v>292925.48212465004</v>
      </c>
      <c r="F110" s="14">
        <f t="shared" si="28"/>
        <v>55770.942510817164</v>
      </c>
      <c r="G110" s="14"/>
      <c r="H110" s="74"/>
      <c r="I110" s="14">
        <f t="shared" si="27"/>
        <v>4670783.7406909009</v>
      </c>
      <c r="J110" s="14">
        <f t="shared" si="29"/>
        <v>278598.58090142428</v>
      </c>
      <c r="K110" s="14">
        <f t="shared" si="30"/>
        <v>126550.20538707143</v>
      </c>
      <c r="L110" s="14">
        <f t="shared" si="31"/>
        <v>8698.1740759364966</v>
      </c>
      <c r="P110" s="14">
        <v>4662720</v>
      </c>
      <c r="Q110" s="14">
        <v>708167</v>
      </c>
      <c r="R110" s="14">
        <v>374585</v>
      </c>
      <c r="S110" s="14">
        <v>71318.3</v>
      </c>
      <c r="T110" s="14"/>
      <c r="U110" s="14"/>
      <c r="V110" s="14">
        <v>5972870</v>
      </c>
      <c r="W110" s="14">
        <v>356264</v>
      </c>
      <c r="X110" s="14">
        <v>161829</v>
      </c>
      <c r="Y110" s="14">
        <v>11123</v>
      </c>
    </row>
    <row r="111" spans="2:25">
      <c r="B111" s="24" t="s">
        <v>103</v>
      </c>
      <c r="C111" s="14">
        <f t="shared" si="26"/>
        <v>2327405.1228992408</v>
      </c>
      <c r="D111" s="14">
        <f t="shared" si="28"/>
        <v>341362.31264981354</v>
      </c>
      <c r="E111" s="14">
        <f t="shared" si="28"/>
        <v>183302.58766415843</v>
      </c>
      <c r="F111" s="14">
        <f t="shared" si="28"/>
        <v>35517.738100818176</v>
      </c>
      <c r="G111" s="14"/>
      <c r="H111" s="74"/>
      <c r="I111" s="14">
        <f t="shared" si="27"/>
        <v>3176366.7453580787</v>
      </c>
      <c r="J111" s="14">
        <f t="shared" si="29"/>
        <v>197073.84369617462</v>
      </c>
      <c r="K111" s="14">
        <f t="shared" si="30"/>
        <v>73380.506646261478</v>
      </c>
      <c r="L111" s="14">
        <f t="shared" si="31"/>
        <v>4988.7121138803868</v>
      </c>
      <c r="P111" s="14">
        <v>2976220</v>
      </c>
      <c r="Q111" s="14">
        <v>436525</v>
      </c>
      <c r="R111" s="14">
        <v>234402</v>
      </c>
      <c r="S111" s="14">
        <v>45419.1</v>
      </c>
      <c r="T111" s="14"/>
      <c r="U111" s="14"/>
      <c r="V111" s="14">
        <v>4061850</v>
      </c>
      <c r="W111" s="14">
        <v>252013</v>
      </c>
      <c r="X111" s="14">
        <v>93837</v>
      </c>
      <c r="Y111" s="14">
        <v>6379.39</v>
      </c>
    </row>
    <row r="112" spans="2:25">
      <c r="B112" s="24" t="s">
        <v>104</v>
      </c>
      <c r="C112" s="14">
        <f t="shared" si="26"/>
        <v>1383108.8123272727</v>
      </c>
      <c r="D112" s="14">
        <f t="shared" si="28"/>
        <v>173367.50583993102</v>
      </c>
      <c r="E112" s="14">
        <f t="shared" si="28"/>
        <v>95424.48175198336</v>
      </c>
      <c r="F112" s="14">
        <f t="shared" si="28"/>
        <v>17652.339235969699</v>
      </c>
      <c r="G112" s="14"/>
      <c r="H112" s="74"/>
      <c r="I112" s="14">
        <f t="shared" si="27"/>
        <v>2011802.8398800294</v>
      </c>
      <c r="J112" s="14">
        <f t="shared" si="29"/>
        <v>100881.99631983941</v>
      </c>
      <c r="K112" s="14">
        <f t="shared" si="30"/>
        <v>32106.70706910246</v>
      </c>
      <c r="L112" s="14">
        <f t="shared" si="31"/>
        <v>2131.9614410439053</v>
      </c>
      <c r="P112" s="14">
        <v>1768680</v>
      </c>
      <c r="Q112" s="14">
        <v>221697</v>
      </c>
      <c r="R112" s="14">
        <v>122026</v>
      </c>
      <c r="S112" s="14">
        <v>22573.200000000001</v>
      </c>
      <c r="T112" s="14"/>
      <c r="U112" s="14"/>
      <c r="V112" s="14">
        <v>2572640</v>
      </c>
      <c r="W112" s="14">
        <v>129005</v>
      </c>
      <c r="X112" s="14">
        <v>41057.1</v>
      </c>
      <c r="Y112" s="14">
        <v>2726.24</v>
      </c>
    </row>
    <row r="113" spans="1:28">
      <c r="B113" s="24" t="s">
        <v>105</v>
      </c>
      <c r="C113" s="14">
        <f t="shared" si="26"/>
        <v>638683.62660483283</v>
      </c>
      <c r="D113" s="14">
        <f t="shared" ref="D113:D117" si="32">Q113/Q301*D19*Q136</f>
        <v>62209.345682960251</v>
      </c>
      <c r="E113" s="14">
        <f t="shared" ref="E113:E117" si="33">R113/R301*E19*R136</f>
        <v>36498.26519928065</v>
      </c>
      <c r="F113" s="14">
        <f t="shared" ref="F113:F117" si="34">S113/S301*F19*S136</f>
        <v>6438.1428873347677</v>
      </c>
      <c r="G113" s="14"/>
      <c r="H113" s="74"/>
      <c r="I113" s="14">
        <f t="shared" si="27"/>
        <v>1031893.5116734509</v>
      </c>
      <c r="J113" s="14">
        <f t="shared" si="29"/>
        <v>37564.353846736623</v>
      </c>
      <c r="K113" s="14">
        <f t="shared" si="30"/>
        <v>10318.526729952535</v>
      </c>
      <c r="L113" s="14">
        <f t="shared" si="31"/>
        <v>682.23966586366873</v>
      </c>
      <c r="P113" s="14">
        <v>816732</v>
      </c>
      <c r="Q113" s="14">
        <v>79551.5</v>
      </c>
      <c r="R113" s="14">
        <v>46673.1</v>
      </c>
      <c r="S113" s="14">
        <v>8233.23</v>
      </c>
      <c r="T113" s="14"/>
      <c r="U113" s="14"/>
      <c r="V113" s="14">
        <v>1319560</v>
      </c>
      <c r="W113" s="14">
        <v>48036.3</v>
      </c>
      <c r="X113" s="14">
        <v>13195</v>
      </c>
      <c r="Y113" s="14">
        <v>872.39499999999998</v>
      </c>
    </row>
    <row r="114" spans="1:28">
      <c r="B114" s="24" t="s">
        <v>106</v>
      </c>
      <c r="C114" s="14">
        <f t="shared" si="26"/>
        <v>207725.77083333334</v>
      </c>
      <c r="D114" s="14">
        <f t="shared" si="32"/>
        <v>16373.357246202073</v>
      </c>
      <c r="E114" s="14">
        <f t="shared" si="33"/>
        <v>10574.532566592834</v>
      </c>
      <c r="F114" s="14">
        <f t="shared" si="34"/>
        <v>1747.9008889520023</v>
      </c>
      <c r="G114" s="14"/>
      <c r="H114" s="74"/>
      <c r="I114" s="14">
        <f t="shared" si="27"/>
        <v>402047.89259329415</v>
      </c>
      <c r="J114" s="14">
        <f t="shared" si="29"/>
        <v>9849.4481629225284</v>
      </c>
      <c r="K114" s="14">
        <f t="shared" si="30"/>
        <v>2430.4688145315486</v>
      </c>
      <c r="L114" s="14">
        <f t="shared" si="31"/>
        <v>127.92533069568086</v>
      </c>
      <c r="P114" s="14">
        <v>265636</v>
      </c>
      <c r="Q114" s="14">
        <v>20937.5</v>
      </c>
      <c r="R114" s="14">
        <v>13522.1</v>
      </c>
      <c r="S114" s="14">
        <v>2235.5100000000002</v>
      </c>
      <c r="T114" s="14"/>
      <c r="U114" s="14"/>
      <c r="V114" s="14">
        <v>514125</v>
      </c>
      <c r="W114" s="14">
        <v>12595.2</v>
      </c>
      <c r="X114" s="14">
        <v>3107.91</v>
      </c>
      <c r="Y114" s="14">
        <v>163.57400000000001</v>
      </c>
    </row>
    <row r="115" spans="1:28">
      <c r="B115" s="24" t="s">
        <v>107</v>
      </c>
      <c r="C115" s="14">
        <f t="shared" si="26"/>
        <v>41352.825193701574</v>
      </c>
      <c r="D115" s="14">
        <f t="shared" si="32"/>
        <v>2899.6805987170346</v>
      </c>
      <c r="E115" s="14">
        <f t="shared" si="33"/>
        <v>2174.4200965372511</v>
      </c>
      <c r="F115" s="14">
        <f t="shared" si="34"/>
        <v>383.6179328436516</v>
      </c>
      <c r="G115" s="14"/>
      <c r="H115" s="74"/>
      <c r="I115" s="14">
        <f t="shared" si="27"/>
        <v>96993.948064674172</v>
      </c>
      <c r="J115" s="14">
        <f t="shared" si="29"/>
        <v>1748.1722885958109</v>
      </c>
      <c r="K115" s="14">
        <f t="shared" si="30"/>
        <v>469.00563215590745</v>
      </c>
      <c r="L115" s="14">
        <f t="shared" si="31"/>
        <v>0</v>
      </c>
      <c r="P115" s="14">
        <v>52882.8</v>
      </c>
      <c r="Q115" s="14">
        <v>3707.68</v>
      </c>
      <c r="R115" s="14">
        <v>2780.76</v>
      </c>
      <c r="S115" s="14">
        <v>490.72199999999998</v>
      </c>
      <c r="T115" s="14"/>
      <c r="U115" s="14"/>
      <c r="V115" s="14">
        <v>124038</v>
      </c>
      <c r="W115" s="14">
        <v>2235.5100000000002</v>
      </c>
      <c r="X115" s="14">
        <v>599.77200000000005</v>
      </c>
      <c r="Y115" s="14">
        <v>0</v>
      </c>
    </row>
    <row r="116" spans="1:28">
      <c r="B116" s="24" t="s">
        <v>108</v>
      </c>
      <c r="C116" s="14">
        <f t="shared" si="26"/>
        <v>5114.2712820512825</v>
      </c>
      <c r="D116" s="14">
        <f t="shared" si="32"/>
        <v>383.80921316614422</v>
      </c>
      <c r="E116" s="14">
        <f t="shared" si="33"/>
        <v>341.23238376383756</v>
      </c>
      <c r="F116" s="14">
        <f t="shared" si="34"/>
        <v>42.715202764976965</v>
      </c>
      <c r="G116" s="14"/>
      <c r="H116" s="74"/>
      <c r="I116" s="14">
        <f t="shared" si="27"/>
        <v>14965.041871921185</v>
      </c>
      <c r="J116" s="14">
        <f t="shared" si="29"/>
        <v>213.14240000000001</v>
      </c>
      <c r="K116" s="14">
        <f t="shared" si="30"/>
        <v>0</v>
      </c>
      <c r="L116" s="14">
        <f t="shared" si="31"/>
        <v>0</v>
      </c>
      <c r="P116" s="14">
        <v>6539.56</v>
      </c>
      <c r="Q116" s="14">
        <v>490.72199999999998</v>
      </c>
      <c r="R116" s="14">
        <v>436.19799999999998</v>
      </c>
      <c r="S116" s="14">
        <v>54.524700000000003</v>
      </c>
      <c r="T116" s="14"/>
      <c r="U116" s="14"/>
      <c r="V116" s="14">
        <v>19136.400000000001</v>
      </c>
      <c r="W116" s="14">
        <v>272.62400000000002</v>
      </c>
      <c r="X116" s="14">
        <v>0</v>
      </c>
      <c r="Y116" s="14">
        <v>0</v>
      </c>
    </row>
    <row r="117" spans="1:28">
      <c r="B117" s="24" t="s">
        <v>109</v>
      </c>
      <c r="C117" s="14">
        <f t="shared" si="26"/>
        <v>251.79819819819818</v>
      </c>
      <c r="D117" s="14">
        <f t="shared" si="32"/>
        <v>0</v>
      </c>
      <c r="E117" s="14">
        <f t="shared" si="33"/>
        <v>0</v>
      </c>
      <c r="F117" s="14">
        <f t="shared" si="34"/>
        <v>0</v>
      </c>
      <c r="G117" s="14"/>
      <c r="H117" s="74"/>
      <c r="I117" s="14">
        <f t="shared" si="27"/>
        <v>993.32829046898644</v>
      </c>
      <c r="J117" s="14">
        <f t="shared" si="29"/>
        <v>0</v>
      </c>
      <c r="K117" s="14">
        <f t="shared" si="30"/>
        <v>0</v>
      </c>
      <c r="L117" s="14">
        <v>0</v>
      </c>
      <c r="P117" s="14">
        <v>322</v>
      </c>
      <c r="Q117" s="14">
        <v>0</v>
      </c>
      <c r="R117" s="14">
        <v>0</v>
      </c>
      <c r="S117" s="14">
        <v>0</v>
      </c>
      <c r="T117" s="14"/>
      <c r="U117" s="14"/>
      <c r="V117" s="14">
        <v>1270</v>
      </c>
      <c r="W117" s="14">
        <v>0</v>
      </c>
      <c r="X117" s="14">
        <v>0</v>
      </c>
      <c r="Y117" s="14">
        <v>0</v>
      </c>
    </row>
    <row r="118" spans="1:28">
      <c r="P118" s="73"/>
      <c r="Q118" s="73"/>
      <c r="R118" s="73"/>
      <c r="S118" s="73"/>
      <c r="T118" s="73"/>
      <c r="U118" s="73"/>
      <c r="V118" s="73"/>
      <c r="W118" s="73"/>
      <c r="X118" s="73"/>
      <c r="Y118" s="73"/>
    </row>
    <row r="119" spans="1:28" ht="18">
      <c r="A119" s="25" t="s">
        <v>126</v>
      </c>
      <c r="B119" s="26" t="s">
        <v>110</v>
      </c>
      <c r="C119" s="78" t="s">
        <v>121</v>
      </c>
      <c r="D119" s="27" t="s">
        <v>122</v>
      </c>
      <c r="E119" s="27" t="s">
        <v>113</v>
      </c>
      <c r="F119" s="27" t="s">
        <v>123</v>
      </c>
      <c r="H119" s="26" t="s">
        <v>111</v>
      </c>
      <c r="I119" s="78" t="s">
        <v>121</v>
      </c>
      <c r="J119" s="27" t="s">
        <v>122</v>
      </c>
      <c r="K119" s="27" t="s">
        <v>113</v>
      </c>
      <c r="L119" s="27" t="s">
        <v>123</v>
      </c>
      <c r="P119" s="73"/>
      <c r="Q119" s="73"/>
      <c r="R119" s="73"/>
      <c r="S119" s="73"/>
      <c r="T119" s="73"/>
      <c r="U119" s="73"/>
      <c r="V119" s="73"/>
      <c r="W119" s="73"/>
      <c r="X119" s="73"/>
      <c r="Y119" s="73"/>
    </row>
    <row r="120" spans="1:28">
      <c r="B120" s="34" t="s">
        <v>124</v>
      </c>
      <c r="C120" s="14">
        <f>P97/P285*C26*P120</f>
        <v>11480926.399999999</v>
      </c>
      <c r="D120" s="14">
        <v>0</v>
      </c>
      <c r="E120" s="14">
        <v>0</v>
      </c>
      <c r="F120" s="14">
        <v>0</v>
      </c>
      <c r="G120" s="14"/>
      <c r="H120" s="77"/>
      <c r="I120" s="14">
        <f>V97/V285*I26*V120</f>
        <v>10901765.799999999</v>
      </c>
      <c r="J120" s="14">
        <v>0</v>
      </c>
      <c r="K120" s="14">
        <v>0</v>
      </c>
      <c r="L120" s="14">
        <v>0</v>
      </c>
      <c r="P120" s="73">
        <v>0.74831711423520497</v>
      </c>
      <c r="Q120" s="73">
        <v>0</v>
      </c>
      <c r="R120" s="73">
        <v>0</v>
      </c>
      <c r="S120" s="73">
        <v>0</v>
      </c>
      <c r="T120" s="73"/>
      <c r="U120" s="73"/>
      <c r="V120" s="73">
        <v>0.72348442553191483</v>
      </c>
      <c r="W120" s="73">
        <v>0</v>
      </c>
      <c r="X120" s="73">
        <v>0</v>
      </c>
      <c r="Y120" s="73">
        <v>0</v>
      </c>
      <c r="AB120" s="14">
        <f>SUM(C97,C120)</f>
        <v>52664799.999999993</v>
      </c>
    </row>
    <row r="121" spans="1:28">
      <c r="B121" s="24" t="s">
        <v>125</v>
      </c>
      <c r="C121" s="14">
        <f t="shared" ref="C121:C140" si="35">P98/P286*C27*P121</f>
        <v>8928625.8353441469</v>
      </c>
      <c r="D121" s="14">
        <v>0</v>
      </c>
      <c r="E121" s="14">
        <v>0</v>
      </c>
      <c r="F121" s="14">
        <v>0</v>
      </c>
      <c r="G121" s="14"/>
      <c r="H121" s="74"/>
      <c r="I121" s="14">
        <f t="shared" ref="I121:I140" si="36">V98/V286*I27*V121</f>
        <v>8400847.9247001074</v>
      </c>
      <c r="J121" s="14">
        <v>0</v>
      </c>
      <c r="K121" s="14">
        <v>0</v>
      </c>
      <c r="L121" s="14">
        <v>0</v>
      </c>
      <c r="P121" s="73">
        <v>0.67711408490024338</v>
      </c>
      <c r="Q121" s="73">
        <v>0</v>
      </c>
      <c r="R121" s="73">
        <v>0</v>
      </c>
      <c r="S121" s="73">
        <v>0</v>
      </c>
      <c r="T121" s="73"/>
      <c r="U121" s="73"/>
      <c r="V121" s="73">
        <v>0.65371506955313641</v>
      </c>
      <c r="W121" s="73">
        <v>0</v>
      </c>
      <c r="X121" s="73">
        <v>0</v>
      </c>
      <c r="Y121" s="73">
        <v>0</v>
      </c>
      <c r="AB121" s="14">
        <f t="shared" ref="AB121:AB140" si="37">SUM(C98,C121)</f>
        <v>40957000</v>
      </c>
    </row>
    <row r="122" spans="1:28">
      <c r="B122" s="24" t="s">
        <v>91</v>
      </c>
      <c r="C122" s="14">
        <f t="shared" si="35"/>
        <v>7101044.6469384292</v>
      </c>
      <c r="D122" s="14">
        <f t="shared" ref="D122:F135" si="38">Q99/Q287*D28*Q122</f>
        <v>1327914.3264558199</v>
      </c>
      <c r="E122" s="14">
        <v>0</v>
      </c>
      <c r="F122" s="14">
        <v>0</v>
      </c>
      <c r="G122" s="14"/>
      <c r="H122" s="74"/>
      <c r="I122" s="14">
        <f t="shared" si="36"/>
        <v>7226852.4808479017</v>
      </c>
      <c r="J122" s="14">
        <f t="shared" ref="J122:J140" si="39">W99/W287*J28*W122</f>
        <v>632762.34548428142</v>
      </c>
      <c r="K122" s="14">
        <v>0</v>
      </c>
      <c r="L122" s="14">
        <v>0</v>
      </c>
      <c r="P122" s="73">
        <v>0.77301291338972522</v>
      </c>
      <c r="Q122" s="73">
        <v>0.64931204958751565</v>
      </c>
      <c r="R122" s="73">
        <v>0</v>
      </c>
      <c r="S122" s="73">
        <v>0</v>
      </c>
      <c r="T122" s="73"/>
      <c r="U122" s="73"/>
      <c r="V122" s="73">
        <v>0.69438076679854766</v>
      </c>
      <c r="W122" s="73">
        <v>0.82623917980968165</v>
      </c>
      <c r="X122" s="73">
        <v>0</v>
      </c>
      <c r="Y122" s="73">
        <v>0</v>
      </c>
      <c r="AB122" s="14">
        <f t="shared" si="37"/>
        <v>32573599.999999996</v>
      </c>
    </row>
    <row r="123" spans="1:28">
      <c r="B123" s="24" t="s">
        <v>92</v>
      </c>
      <c r="C123" s="14">
        <f t="shared" si="35"/>
        <v>3603256.7615410853</v>
      </c>
      <c r="D123" s="14">
        <f t="shared" si="38"/>
        <v>2719877.0635516923</v>
      </c>
      <c r="E123" s="14">
        <f t="shared" si="38"/>
        <v>1446061.6468474916</v>
      </c>
      <c r="F123" s="14">
        <v>0</v>
      </c>
      <c r="G123" s="14"/>
      <c r="H123" s="74"/>
      <c r="I123" s="14">
        <f t="shared" si="36"/>
        <v>4975937.109875381</v>
      </c>
      <c r="J123" s="14">
        <f t="shared" si="39"/>
        <v>1589150.3520747814</v>
      </c>
      <c r="K123" s="14">
        <f t="shared" ref="K123:K140" si="40">X100/X288*K29*X123</f>
        <v>730679.43343416927</v>
      </c>
      <c r="L123" s="14">
        <v>0</v>
      </c>
      <c r="P123" s="73">
        <v>0.45448808272449176</v>
      </c>
      <c r="Q123" s="73">
        <v>1.0574877305222838</v>
      </c>
      <c r="R123" s="73">
        <v>1.2098313186637846</v>
      </c>
      <c r="S123" s="73">
        <v>0</v>
      </c>
      <c r="T123" s="73"/>
      <c r="U123" s="73"/>
      <c r="V123" s="73">
        <v>0.52832249329369207</v>
      </c>
      <c r="W123" s="73">
        <v>1.1418131378177041</v>
      </c>
      <c r="X123" s="73">
        <v>1.131158112384075</v>
      </c>
      <c r="Y123" s="73">
        <v>0</v>
      </c>
      <c r="AB123" s="14">
        <f t="shared" si="37"/>
        <v>16528700.000000002</v>
      </c>
    </row>
    <row r="124" spans="1:28">
      <c r="B124" s="24" t="s">
        <v>93</v>
      </c>
      <c r="C124" s="14">
        <f t="shared" si="35"/>
        <v>3576987.4815799212</v>
      </c>
      <c r="D124" s="14">
        <f t="shared" si="38"/>
        <v>1767720.4624077324</v>
      </c>
      <c r="E124" s="14">
        <f t="shared" si="38"/>
        <v>1446061.749923873</v>
      </c>
      <c r="F124" s="14">
        <f t="shared" si="38"/>
        <v>77737.019166422775</v>
      </c>
      <c r="G124" s="14"/>
      <c r="H124" s="74"/>
      <c r="I124" s="14">
        <f t="shared" si="36"/>
        <v>4686345.9881502027</v>
      </c>
      <c r="J124" s="14">
        <f t="shared" si="39"/>
        <v>988900.47858602228</v>
      </c>
      <c r="K124" s="14">
        <f t="shared" si="40"/>
        <v>730679.43843101489</v>
      </c>
      <c r="L124" s="14">
        <f t="shared" ref="L124:L139" si="41">Y101/Y289*L30*Y124</f>
        <v>20836.829802072567</v>
      </c>
      <c r="P124" s="73">
        <v>0.57127477005792948</v>
      </c>
      <c r="Q124" s="73">
        <v>0.91385678873276333</v>
      </c>
      <c r="R124" s="73">
        <v>1.3888663250273074</v>
      </c>
      <c r="S124" s="73">
        <v>0.63033206052989488</v>
      </c>
      <c r="T124" s="73"/>
      <c r="U124" s="73"/>
      <c r="V124" s="73">
        <v>0.62391253738490093</v>
      </c>
      <c r="W124" s="73">
        <v>1.0919219792403305</v>
      </c>
      <c r="X124" s="73">
        <v>1.2985505787732177</v>
      </c>
      <c r="Y124" s="73">
        <v>0.47436911919533969</v>
      </c>
      <c r="AB124" s="14">
        <f t="shared" si="37"/>
        <v>16408200</v>
      </c>
    </row>
    <row r="125" spans="1:28">
      <c r="B125" s="24" t="s">
        <v>94</v>
      </c>
      <c r="C125" s="14">
        <f t="shared" si="35"/>
        <v>3590983.0181668079</v>
      </c>
      <c r="D125" s="14">
        <f t="shared" si="38"/>
        <v>1391956.3431945927</v>
      </c>
      <c r="E125" s="14">
        <f t="shared" si="38"/>
        <v>941840.81714912737</v>
      </c>
      <c r="F125" s="14">
        <f t="shared" si="38"/>
        <v>42220.532945128638</v>
      </c>
      <c r="G125" s="14"/>
      <c r="H125" s="74"/>
      <c r="I125" s="14">
        <f t="shared" si="36"/>
        <v>4486570.6135697206</v>
      </c>
      <c r="J125" s="14">
        <f t="shared" si="39"/>
        <v>658695.63994674454</v>
      </c>
      <c r="K125" s="14">
        <f t="shared" si="40"/>
        <v>504506.43181165808</v>
      </c>
      <c r="L125" s="14">
        <f t="shared" si="41"/>
        <v>12718.432043164623</v>
      </c>
      <c r="P125" s="73">
        <v>0.65757977548396174</v>
      </c>
      <c r="Q125" s="73">
        <v>0.91718273038023823</v>
      </c>
      <c r="R125" s="73">
        <v>1.2492509583537939</v>
      </c>
      <c r="S125" s="73">
        <v>0.65243087326657767</v>
      </c>
      <c r="T125" s="73"/>
      <c r="U125" s="73"/>
      <c r="V125" s="73">
        <v>0.69640531076576717</v>
      </c>
      <c r="W125" s="73">
        <v>1.1235359942995655</v>
      </c>
      <c r="X125" s="73">
        <v>1.3390044246562758</v>
      </c>
      <c r="Y125" s="73">
        <v>0.37251168846401966</v>
      </c>
      <c r="AB125" s="14">
        <f t="shared" si="37"/>
        <v>16472400</v>
      </c>
    </row>
    <row r="126" spans="1:28">
      <c r="B126" s="24" t="s">
        <v>95</v>
      </c>
      <c r="C126" s="14">
        <f t="shared" si="35"/>
        <v>3296573.9721644665</v>
      </c>
      <c r="D126" s="14">
        <f t="shared" si="38"/>
        <v>1202712.4928831933</v>
      </c>
      <c r="E126" s="14">
        <f t="shared" si="38"/>
        <v>612660.71332972788</v>
      </c>
      <c r="F126" s="14">
        <f t="shared" si="38"/>
        <v>92452.318664219376</v>
      </c>
      <c r="G126" s="14"/>
      <c r="H126" s="74"/>
      <c r="I126" s="14">
        <f t="shared" si="36"/>
        <v>4144572.2074738587</v>
      </c>
      <c r="J126" s="14">
        <f t="shared" si="39"/>
        <v>451445.25593575067</v>
      </c>
      <c r="K126" s="14">
        <f t="shared" si="40"/>
        <v>337121.78905579145</v>
      </c>
      <c r="L126" s="14">
        <f t="shared" si="41"/>
        <v>23297.20128187547</v>
      </c>
      <c r="P126" s="73">
        <v>0.71648534020370036</v>
      </c>
      <c r="Q126" s="73">
        <v>0.9046322548906417</v>
      </c>
      <c r="R126" s="73">
        <v>0.97424389919921062</v>
      </c>
      <c r="S126" s="73">
        <v>1.0217211650721254</v>
      </c>
      <c r="T126" s="73"/>
      <c r="U126" s="73"/>
      <c r="V126" s="73">
        <v>0.76207202970657351</v>
      </c>
      <c r="W126" s="73">
        <v>1.0116414964565135</v>
      </c>
      <c r="X126" s="73">
        <v>1.110611039859084</v>
      </c>
      <c r="Y126" s="73">
        <v>0.53442751505278452</v>
      </c>
      <c r="AB126" s="14">
        <f t="shared" si="37"/>
        <v>15121900</v>
      </c>
    </row>
    <row r="127" spans="1:28">
      <c r="B127" s="24" t="s">
        <v>96</v>
      </c>
      <c r="C127" s="14">
        <f t="shared" si="35"/>
        <v>3137434.220884901</v>
      </c>
      <c r="D127" s="14">
        <f t="shared" si="38"/>
        <v>1025188.4366932898</v>
      </c>
      <c r="E127" s="14">
        <f t="shared" si="38"/>
        <v>481849.68980843527</v>
      </c>
      <c r="F127" s="14">
        <f t="shared" si="38"/>
        <v>75431.046071160337</v>
      </c>
      <c r="G127" s="14"/>
      <c r="H127" s="74"/>
      <c r="I127" s="14">
        <f t="shared" si="36"/>
        <v>3835731.7249180889</v>
      </c>
      <c r="J127" s="14">
        <f t="shared" si="39"/>
        <v>329871.02336538973</v>
      </c>
      <c r="K127" s="14">
        <f t="shared" si="40"/>
        <v>273005.74804294022</v>
      </c>
      <c r="L127" s="14">
        <f t="shared" si="41"/>
        <v>17782.017229364381</v>
      </c>
      <c r="P127" s="73">
        <v>0.8335857136534246</v>
      </c>
      <c r="Q127" s="73">
        <v>1.1428359496455169</v>
      </c>
      <c r="R127" s="73">
        <v>1.142088302821592</v>
      </c>
      <c r="S127" s="73">
        <v>1.1814013313647489</v>
      </c>
      <c r="T127" s="73"/>
      <c r="U127" s="73"/>
      <c r="V127" s="73">
        <v>0.88159292808188661</v>
      </c>
      <c r="W127" s="73">
        <v>1.3637826183774062</v>
      </c>
      <c r="X127" s="73">
        <v>1.3568761915017085</v>
      </c>
      <c r="Y127" s="73">
        <v>0.5957077830843911</v>
      </c>
      <c r="AB127" s="14">
        <f t="shared" si="37"/>
        <v>14391900</v>
      </c>
    </row>
    <row r="128" spans="1:28">
      <c r="B128" s="24" t="s">
        <v>97</v>
      </c>
      <c r="C128" s="14">
        <f t="shared" si="35"/>
        <v>2888390.9880882031</v>
      </c>
      <c r="D128" s="14">
        <f t="shared" si="38"/>
        <v>826793.13122755394</v>
      </c>
      <c r="E128" s="14">
        <f t="shared" si="38"/>
        <v>393474.70525616431</v>
      </c>
      <c r="F128" s="14">
        <f t="shared" si="38"/>
        <v>64602.606752435015</v>
      </c>
      <c r="G128" s="14"/>
      <c r="H128" s="74"/>
      <c r="I128" s="14">
        <f t="shared" si="36"/>
        <v>3503129.445789726</v>
      </c>
      <c r="J128" s="14">
        <f t="shared" si="39"/>
        <v>248461.04418843921</v>
      </c>
      <c r="K128" s="14">
        <f t="shared" si="40"/>
        <v>206371.46017694459</v>
      </c>
      <c r="L128" s="14">
        <f t="shared" si="41"/>
        <v>12825.405486389187</v>
      </c>
      <c r="P128" s="73">
        <v>0.96992056779607483</v>
      </c>
      <c r="Q128" s="73">
        <v>1.2806297843760852</v>
      </c>
      <c r="R128" s="73">
        <v>1.2708480581875663</v>
      </c>
      <c r="S128" s="73">
        <v>1.3270724421474123</v>
      </c>
      <c r="T128" s="73"/>
      <c r="U128" s="73"/>
      <c r="V128" s="73">
        <v>1.0070285245277251</v>
      </c>
      <c r="W128" s="73">
        <v>1.533116955711799</v>
      </c>
      <c r="X128" s="73">
        <v>1.500731846942444</v>
      </c>
      <c r="Y128" s="73">
        <v>0.62505106827670853</v>
      </c>
      <c r="AB128" s="14">
        <f t="shared" si="37"/>
        <v>13249500</v>
      </c>
    </row>
    <row r="129" spans="1:28">
      <c r="B129" s="24" t="s">
        <v>98</v>
      </c>
      <c r="C129" s="14">
        <f t="shared" si="35"/>
        <v>2587856.0924335755</v>
      </c>
      <c r="D129" s="14">
        <f t="shared" si="38"/>
        <v>622062.95347184828</v>
      </c>
      <c r="E129" s="14">
        <f t="shared" si="38"/>
        <v>328979.48592665803</v>
      </c>
      <c r="F129" s="14">
        <f t="shared" si="38"/>
        <v>53738.350422310687</v>
      </c>
      <c r="G129" s="14"/>
      <c r="H129" s="74"/>
      <c r="I129" s="14">
        <f t="shared" si="36"/>
        <v>3039857.5213229759</v>
      </c>
      <c r="J129" s="14">
        <f t="shared" si="39"/>
        <v>193688.71496752481</v>
      </c>
      <c r="K129" s="14">
        <f t="shared" si="40"/>
        <v>157031.08617796248</v>
      </c>
      <c r="L129" s="14">
        <f t="shared" si="41"/>
        <v>9675.5169200405453</v>
      </c>
      <c r="P129" s="73">
        <v>1.1453376422228019</v>
      </c>
      <c r="Q129" s="73">
        <v>1.3593048996764563</v>
      </c>
      <c r="R129" s="73">
        <v>1.3841182531723348</v>
      </c>
      <c r="S129" s="73">
        <v>1.3921058290196506</v>
      </c>
      <c r="T129" s="73"/>
      <c r="U129" s="73"/>
      <c r="V129" s="73">
        <v>1.1744350024760295</v>
      </c>
      <c r="W129" s="73">
        <v>1.6904589833787924</v>
      </c>
      <c r="X129" s="73">
        <v>1.5936254300591359</v>
      </c>
      <c r="Y129" s="73">
        <v>0.59402905475315237</v>
      </c>
      <c r="AB129" s="14">
        <f t="shared" si="37"/>
        <v>11870900</v>
      </c>
    </row>
    <row r="130" spans="1:28">
      <c r="B130" s="24" t="s">
        <v>99</v>
      </c>
      <c r="C130" s="14">
        <f t="shared" si="35"/>
        <v>2183771.598865143</v>
      </c>
      <c r="D130" s="14">
        <f t="shared" si="38"/>
        <v>468976.89249979635</v>
      </c>
      <c r="E130" s="14">
        <f t="shared" si="38"/>
        <v>255877.58409247018</v>
      </c>
      <c r="F130" s="14">
        <f t="shared" si="38"/>
        <v>43991.628911584252</v>
      </c>
      <c r="G130" s="14"/>
      <c r="H130" s="74"/>
      <c r="I130" s="14">
        <f t="shared" si="36"/>
        <v>2546763.1138161696</v>
      </c>
      <c r="J130" s="14">
        <f t="shared" si="39"/>
        <v>157340.09278967444</v>
      </c>
      <c r="K130" s="14">
        <f t="shared" si="40"/>
        <v>113776.31299452689</v>
      </c>
      <c r="L130" s="14">
        <f t="shared" si="41"/>
        <v>7167.4686263072253</v>
      </c>
      <c r="P130" s="73">
        <v>1.2799593106868432</v>
      </c>
      <c r="Q130" s="73">
        <v>1.491171990649014</v>
      </c>
      <c r="R130" s="73">
        <v>1.4946792103454336</v>
      </c>
      <c r="S130" s="73">
        <v>1.4244790885311485</v>
      </c>
      <c r="T130" s="73"/>
      <c r="U130" s="73"/>
      <c r="V130" s="73">
        <v>1.304678194507904</v>
      </c>
      <c r="W130" s="73">
        <v>1.9458975846292217</v>
      </c>
      <c r="X130" s="73">
        <v>1.8364548405373196</v>
      </c>
      <c r="Y130" s="73">
        <v>0.63344365149582593</v>
      </c>
      <c r="AB130" s="14">
        <f t="shared" si="37"/>
        <v>10017300</v>
      </c>
    </row>
    <row r="131" spans="1:28">
      <c r="B131" s="24" t="s">
        <v>100</v>
      </c>
      <c r="C131" s="14">
        <f t="shared" si="35"/>
        <v>1786889.4021563814</v>
      </c>
      <c r="D131" s="14">
        <f t="shared" si="38"/>
        <v>341638.6115828373</v>
      </c>
      <c r="E131" s="14">
        <f t="shared" si="38"/>
        <v>185106.7253940127</v>
      </c>
      <c r="F131" s="14">
        <f t="shared" si="38"/>
        <v>32818.357496300057</v>
      </c>
      <c r="G131" s="14"/>
      <c r="H131" s="74"/>
      <c r="I131" s="14">
        <f t="shared" si="36"/>
        <v>2099224.577366136</v>
      </c>
      <c r="J131" s="14">
        <f t="shared" si="39"/>
        <v>122049.46670754736</v>
      </c>
      <c r="K131" s="14">
        <f t="shared" si="40"/>
        <v>78045.926654613664</v>
      </c>
      <c r="L131" s="14">
        <f t="shared" si="41"/>
        <v>5039.8167733003211</v>
      </c>
      <c r="P131" s="73">
        <v>1.4862078797570939</v>
      </c>
      <c r="Q131" s="73">
        <v>1.6422739992665518</v>
      </c>
      <c r="R131" s="73">
        <v>1.5878053885113923</v>
      </c>
      <c r="S131" s="73">
        <v>1.421596147745072</v>
      </c>
      <c r="T131" s="73"/>
      <c r="U131" s="73"/>
      <c r="V131" s="73">
        <v>1.5351638568193942</v>
      </c>
      <c r="W131" s="73">
        <v>2.2195766842510953</v>
      </c>
      <c r="X131" s="73">
        <v>2.068835731078229</v>
      </c>
      <c r="Y131" s="73">
        <v>0.6518467676311902</v>
      </c>
      <c r="AB131" s="14">
        <f t="shared" si="37"/>
        <v>8196740</v>
      </c>
    </row>
    <row r="132" spans="1:28">
      <c r="B132" s="24" t="s">
        <v>101</v>
      </c>
      <c r="C132" s="14">
        <f t="shared" si="35"/>
        <v>1463708.9808510756</v>
      </c>
      <c r="D132" s="14">
        <f t="shared" si="38"/>
        <v>244846.72114488547</v>
      </c>
      <c r="E132" s="14">
        <f t="shared" si="38"/>
        <v>136753.02967644931</v>
      </c>
      <c r="F132" s="14">
        <f t="shared" si="38"/>
        <v>25329.920986795863</v>
      </c>
      <c r="G132" s="14"/>
      <c r="H132" s="74"/>
      <c r="I132" s="14">
        <f t="shared" si="36"/>
        <v>1777654.7714783896</v>
      </c>
      <c r="J132" s="14">
        <f t="shared" si="39"/>
        <v>104540.71710323708</v>
      </c>
      <c r="K132" s="14">
        <f t="shared" si="40"/>
        <v>56412.681139854183</v>
      </c>
      <c r="L132" s="14">
        <f t="shared" si="41"/>
        <v>3744.1963113099937</v>
      </c>
      <c r="P132" s="73">
        <v>1.8699180177678845</v>
      </c>
      <c r="Q132" s="73">
        <v>2.0282964406955157</v>
      </c>
      <c r="R132" s="73">
        <v>1.9492602554464262</v>
      </c>
      <c r="S132" s="73">
        <v>1.6362370093797003</v>
      </c>
      <c r="T132" s="73"/>
      <c r="U132" s="73"/>
      <c r="V132" s="73">
        <v>2.0134260469141925</v>
      </c>
      <c r="W132" s="73">
        <v>2.8560447949315275</v>
      </c>
      <c r="X132" s="73">
        <v>2.564658120958005</v>
      </c>
      <c r="Y132" s="73">
        <v>0.73078897955602351</v>
      </c>
      <c r="AB132" s="14">
        <f t="shared" si="37"/>
        <v>6714260</v>
      </c>
    </row>
    <row r="133" spans="1:28">
      <c r="B133" s="24" t="s">
        <v>102</v>
      </c>
      <c r="C133" s="14">
        <f t="shared" si="35"/>
        <v>1016473.7107035185</v>
      </c>
      <c r="D133" s="14">
        <f t="shared" si="38"/>
        <v>154380.47927815915</v>
      </c>
      <c r="E133" s="14">
        <f t="shared" si="38"/>
        <v>81659.517875349979</v>
      </c>
      <c r="F133" s="14">
        <f t="shared" si="38"/>
        <v>15547.35748918285</v>
      </c>
      <c r="G133" s="14"/>
      <c r="H133" s="74"/>
      <c r="I133" s="14">
        <f t="shared" si="36"/>
        <v>1302086.2593090993</v>
      </c>
      <c r="J133" s="14">
        <f t="shared" si="39"/>
        <v>77665.41909857576</v>
      </c>
      <c r="K133" s="14">
        <f t="shared" si="40"/>
        <v>35278.794612928577</v>
      </c>
      <c r="L133" s="14">
        <f t="shared" si="41"/>
        <v>2424.8259240635034</v>
      </c>
      <c r="P133" s="73">
        <v>2.6185938245835225</v>
      </c>
      <c r="Q133" s="73">
        <v>2.850861646364927</v>
      </c>
      <c r="R133" s="73">
        <v>2.747550620565435</v>
      </c>
      <c r="S133" s="73">
        <v>2.127195803563354</v>
      </c>
      <c r="T133" s="73"/>
      <c r="U133" s="73"/>
      <c r="V133" s="73">
        <v>2.9620199546698389</v>
      </c>
      <c r="W133" s="73">
        <v>4.2773353424419707</v>
      </c>
      <c r="X133" s="73">
        <v>3.7445690862291721</v>
      </c>
      <c r="Y133" s="73">
        <v>0.96947277680461097</v>
      </c>
      <c r="AB133" s="14">
        <f t="shared" si="37"/>
        <v>4662720</v>
      </c>
    </row>
    <row r="134" spans="1:28">
      <c r="B134" s="24" t="s">
        <v>103</v>
      </c>
      <c r="C134" s="14">
        <f t="shared" si="35"/>
        <v>648814.87710075919</v>
      </c>
      <c r="D134" s="14">
        <f t="shared" si="38"/>
        <v>95162.687350186476</v>
      </c>
      <c r="E134" s="14">
        <f t="shared" si="38"/>
        <v>51099.412335841567</v>
      </c>
      <c r="F134" s="14">
        <f t="shared" si="38"/>
        <v>9901.3618991818184</v>
      </c>
      <c r="G134" s="14"/>
      <c r="H134" s="74"/>
      <c r="I134" s="14">
        <f t="shared" si="36"/>
        <v>885483.25464192091</v>
      </c>
      <c r="J134" s="14">
        <f t="shared" si="39"/>
        <v>54939.156303825417</v>
      </c>
      <c r="K134" s="14">
        <f t="shared" si="40"/>
        <v>20456.493353738522</v>
      </c>
      <c r="L134" s="14">
        <f t="shared" si="41"/>
        <v>1390.6778861196133</v>
      </c>
      <c r="P134" s="73">
        <v>3.9192567480567644</v>
      </c>
      <c r="Q134" s="73">
        <v>4.1798426391699817</v>
      </c>
      <c r="R134" s="73">
        <v>4.243767796908088</v>
      </c>
      <c r="S134" s="73">
        <v>2.9956491661260958</v>
      </c>
      <c r="T134" s="73"/>
      <c r="U134" s="73"/>
      <c r="V134" s="73">
        <v>4.6796174236396677</v>
      </c>
      <c r="W134" s="73">
        <v>6.6215535495116402</v>
      </c>
      <c r="X134" s="73">
        <v>5.8122280765680427</v>
      </c>
      <c r="Y134" s="73">
        <v>1.2869580479036098</v>
      </c>
      <c r="AB134" s="14">
        <f t="shared" si="37"/>
        <v>2976220</v>
      </c>
    </row>
    <row r="135" spans="1:28">
      <c r="B135" s="24" t="s">
        <v>104</v>
      </c>
      <c r="C135" s="14">
        <f t="shared" si="35"/>
        <v>385571.18767272704</v>
      </c>
      <c r="D135" s="14">
        <f t="shared" si="38"/>
        <v>48329.494160068985</v>
      </c>
      <c r="E135" s="14">
        <f t="shared" si="38"/>
        <v>26601.51824801664</v>
      </c>
      <c r="F135" s="14">
        <f t="shared" si="38"/>
        <v>4920.8607640303007</v>
      </c>
      <c r="G135" s="14"/>
      <c r="H135" s="74"/>
      <c r="I135" s="14">
        <f t="shared" si="36"/>
        <v>560837.16011997045</v>
      </c>
      <c r="J135" s="14">
        <f t="shared" si="39"/>
        <v>28123.003680160593</v>
      </c>
      <c r="K135" s="14">
        <f t="shared" si="40"/>
        <v>8950.3929308975385</v>
      </c>
      <c r="L135" s="14">
        <f t="shared" si="41"/>
        <v>594.27855895609412</v>
      </c>
      <c r="P135" s="73">
        <v>6.3249123699561514</v>
      </c>
      <c r="Q135" s="73">
        <v>6.1923829731312461</v>
      </c>
      <c r="R135" s="73">
        <v>6.2930567450599222</v>
      </c>
      <c r="S135" s="73">
        <v>4.006369064103608</v>
      </c>
      <c r="T135" s="73"/>
      <c r="U135" s="73"/>
      <c r="V135" s="73">
        <v>7.9849964501499633</v>
      </c>
      <c r="W135" s="73">
        <v>10.52863405821345</v>
      </c>
      <c r="X135" s="73">
        <v>8.8633397001903766</v>
      </c>
      <c r="Y135" s="73">
        <v>1.7672633403725531</v>
      </c>
      <c r="AB135" s="14">
        <f t="shared" si="37"/>
        <v>1768679.9999999998</v>
      </c>
    </row>
    <row r="136" spans="1:28">
      <c r="B136" s="24" t="s">
        <v>105</v>
      </c>
      <c r="C136" s="14">
        <f t="shared" si="35"/>
        <v>178048.3733951672</v>
      </c>
      <c r="D136" s="14">
        <f t="shared" ref="D136:D140" si="42">Q113/Q301*D42*Q136</f>
        <v>17342.154317039745</v>
      </c>
      <c r="E136" s="14">
        <f t="shared" ref="E136:E140" si="43">R113/R301*E42*R136</f>
        <v>10174.834800719345</v>
      </c>
      <c r="F136" s="14">
        <f t="shared" ref="F136:F140" si="44">S113/S301*F42*S136</f>
        <v>1795.0871126652319</v>
      </c>
      <c r="G136" s="14"/>
      <c r="H136" s="74"/>
      <c r="I136" s="14">
        <f t="shared" si="36"/>
        <v>287666.48832654901</v>
      </c>
      <c r="J136" s="14">
        <f t="shared" si="39"/>
        <v>10471.946153263381</v>
      </c>
      <c r="K136" s="14">
        <f t="shared" si="40"/>
        <v>2876.4732700474638</v>
      </c>
      <c r="L136" s="14">
        <f t="shared" si="41"/>
        <v>190.15533413633116</v>
      </c>
      <c r="P136" s="73">
        <v>8.9486392482304122</v>
      </c>
      <c r="Q136" s="73">
        <v>7.4957581283038568</v>
      </c>
      <c r="R136" s="73">
        <v>7.0417029465562022</v>
      </c>
      <c r="S136" s="73">
        <v>4.0372207961881337</v>
      </c>
      <c r="T136" s="73"/>
      <c r="U136" s="73"/>
      <c r="V136" s="73">
        <v>12.246549231510626</v>
      </c>
      <c r="W136" s="73">
        <v>14.074973256562751</v>
      </c>
      <c r="X136" s="73">
        <v>11.135542860711604</v>
      </c>
      <c r="Y136" s="73">
        <v>2.0437136866523908</v>
      </c>
      <c r="AB136" s="14">
        <f t="shared" si="37"/>
        <v>816732</v>
      </c>
    </row>
    <row r="137" spans="1:28">
      <c r="B137" s="24" t="s">
        <v>106</v>
      </c>
      <c r="C137" s="14">
        <f t="shared" si="35"/>
        <v>57910.229166666672</v>
      </c>
      <c r="D137" s="14">
        <f t="shared" si="42"/>
        <v>4564.1427537979262</v>
      </c>
      <c r="E137" s="14">
        <f t="shared" si="43"/>
        <v>2947.5674334071678</v>
      </c>
      <c r="F137" s="14">
        <f t="shared" si="44"/>
        <v>487.60911104799777</v>
      </c>
      <c r="G137" s="14"/>
      <c r="H137" s="74"/>
      <c r="I137" s="14">
        <f t="shared" si="36"/>
        <v>112077.10740670581</v>
      </c>
      <c r="J137" s="14">
        <f t="shared" si="39"/>
        <v>2745.7518370774724</v>
      </c>
      <c r="K137" s="14">
        <f t="shared" si="40"/>
        <v>677.44118546845118</v>
      </c>
      <c r="L137" s="14">
        <f t="shared" si="41"/>
        <v>35.648669304319164</v>
      </c>
      <c r="P137" s="73">
        <v>10.991702741702744</v>
      </c>
      <c r="Q137" s="73">
        <v>9.3373402459609345</v>
      </c>
      <c r="R137" s="73">
        <v>8.8612442210484481</v>
      </c>
      <c r="S137" s="73">
        <v>4.4124853734734453</v>
      </c>
      <c r="T137" s="73"/>
      <c r="U137" s="73"/>
      <c r="V137" s="73">
        <v>17.508393635158171</v>
      </c>
      <c r="W137" s="73">
        <v>21.071367625446147</v>
      </c>
      <c r="X137" s="73">
        <v>15.644396716555677</v>
      </c>
      <c r="Y137" s="73">
        <v>2.4632426640290142</v>
      </c>
      <c r="AB137" s="14">
        <f t="shared" si="37"/>
        <v>265636</v>
      </c>
    </row>
    <row r="138" spans="1:28">
      <c r="B138" s="24" t="s">
        <v>107</v>
      </c>
      <c r="C138" s="14">
        <f t="shared" si="35"/>
        <v>11529.974806298427</v>
      </c>
      <c r="D138" s="14">
        <f t="shared" si="42"/>
        <v>807.99940128296498</v>
      </c>
      <c r="E138" s="14">
        <f t="shared" si="43"/>
        <v>606.33990346274925</v>
      </c>
      <c r="F138" s="14">
        <f t="shared" si="44"/>
        <v>107.10406715634838</v>
      </c>
      <c r="G138" s="14"/>
      <c r="H138" s="74"/>
      <c r="I138" s="14">
        <f t="shared" si="36"/>
        <v>27044.051935325821</v>
      </c>
      <c r="J138" s="14">
        <f t="shared" si="39"/>
        <v>487.33771140418929</v>
      </c>
      <c r="K138" s="14">
        <f t="shared" si="40"/>
        <v>130.76636784409257</v>
      </c>
      <c r="L138" s="14">
        <f t="shared" si="41"/>
        <v>0</v>
      </c>
      <c r="P138" s="73">
        <v>8.8164775472798471</v>
      </c>
      <c r="Q138" s="73">
        <v>7.6419132216678545</v>
      </c>
      <c r="R138" s="73">
        <v>7.221335362014691</v>
      </c>
      <c r="S138" s="73">
        <v>3.2000694648478487</v>
      </c>
      <c r="T138" s="73"/>
      <c r="U138" s="73"/>
      <c r="V138" s="73">
        <v>16.795106740393365</v>
      </c>
      <c r="W138" s="73">
        <v>20.817900181018874</v>
      </c>
      <c r="X138" s="73">
        <v>13.862061388550545</v>
      </c>
      <c r="Y138" s="73">
        <v>1</v>
      </c>
      <c r="AB138" s="14">
        <f t="shared" si="37"/>
        <v>52882.8</v>
      </c>
    </row>
    <row r="139" spans="1:28">
      <c r="B139" s="24" t="s">
        <v>108</v>
      </c>
      <c r="C139" s="14">
        <f t="shared" si="35"/>
        <v>1425.2887179487182</v>
      </c>
      <c r="D139" s="14">
        <f t="shared" si="42"/>
        <v>106.9127868338558</v>
      </c>
      <c r="E139" s="14">
        <f t="shared" si="43"/>
        <v>94.965616236162347</v>
      </c>
      <c r="F139" s="14">
        <f t="shared" si="44"/>
        <v>11.809497235023043</v>
      </c>
      <c r="G139" s="14"/>
      <c r="H139" s="74"/>
      <c r="I139" s="14">
        <f t="shared" si="36"/>
        <v>4171.3581280788185</v>
      </c>
      <c r="J139" s="14">
        <f t="shared" si="39"/>
        <v>59.4816</v>
      </c>
      <c r="K139" s="14">
        <f t="shared" si="40"/>
        <v>0</v>
      </c>
      <c r="L139" s="14">
        <f t="shared" si="41"/>
        <v>0</v>
      </c>
      <c r="P139" s="73">
        <v>5.8347571428571436</v>
      </c>
      <c r="Q139" s="73">
        <v>4.7664647335423203</v>
      </c>
      <c r="R139" s="73">
        <v>4.0286759225092252</v>
      </c>
      <c r="S139" s="73">
        <v>1.8111506912442397</v>
      </c>
      <c r="T139" s="73"/>
      <c r="U139" s="73"/>
      <c r="V139" s="73">
        <v>13.597992610837439</v>
      </c>
      <c r="W139" s="73">
        <v>15.246417045454542</v>
      </c>
      <c r="X139" s="73">
        <v>1</v>
      </c>
      <c r="Y139" s="73">
        <v>1</v>
      </c>
      <c r="AB139" s="14">
        <f t="shared" si="37"/>
        <v>6539.56</v>
      </c>
    </row>
    <row r="140" spans="1:28">
      <c r="B140" s="24" t="s">
        <v>109</v>
      </c>
      <c r="C140" s="14">
        <f t="shared" si="35"/>
        <v>70.201801801801793</v>
      </c>
      <c r="D140" s="14">
        <f t="shared" si="42"/>
        <v>0</v>
      </c>
      <c r="E140" s="14">
        <f t="shared" si="43"/>
        <v>0</v>
      </c>
      <c r="F140" s="14">
        <f t="shared" si="44"/>
        <v>0</v>
      </c>
      <c r="G140" s="14"/>
      <c r="H140" s="74"/>
      <c r="I140" s="14">
        <f t="shared" si="36"/>
        <v>276.67170953101362</v>
      </c>
      <c r="J140" s="14">
        <f t="shared" si="39"/>
        <v>0</v>
      </c>
      <c r="K140" s="14">
        <f t="shared" si="40"/>
        <v>0</v>
      </c>
      <c r="L140" s="14">
        <v>0</v>
      </c>
      <c r="P140" s="73">
        <v>2.8897801801801797</v>
      </c>
      <c r="Q140" s="73">
        <v>1</v>
      </c>
      <c r="R140" s="73">
        <v>1</v>
      </c>
      <c r="S140" s="73">
        <v>1</v>
      </c>
      <c r="T140" s="73"/>
      <c r="U140" s="73"/>
      <c r="V140" s="73">
        <v>6.5525506807866867</v>
      </c>
      <c r="W140" s="73">
        <v>1</v>
      </c>
      <c r="X140" s="73">
        <v>1</v>
      </c>
      <c r="Y140" s="73">
        <v>1</v>
      </c>
      <c r="AB140" s="14">
        <f t="shared" si="37"/>
        <v>322</v>
      </c>
    </row>
    <row r="141" spans="1:28">
      <c r="P141" s="73"/>
      <c r="Q141" s="73"/>
      <c r="R141" s="73"/>
      <c r="S141" s="73"/>
      <c r="T141" s="73"/>
      <c r="U141" s="73"/>
      <c r="V141" s="73"/>
      <c r="W141" s="73"/>
      <c r="X141" s="73"/>
      <c r="Y141" s="73"/>
    </row>
    <row r="142" spans="1:28" ht="18">
      <c r="A142" s="82" t="s">
        <v>417</v>
      </c>
      <c r="B142" s="82"/>
      <c r="C142" s="82"/>
      <c r="D142" s="82"/>
      <c r="E142" s="82"/>
      <c r="F142" s="82"/>
      <c r="G142" s="82"/>
      <c r="H142" s="82"/>
      <c r="I142" s="82"/>
      <c r="J142" s="82"/>
      <c r="K142" s="82"/>
      <c r="L142" s="82"/>
      <c r="P142" s="73"/>
      <c r="Q142" s="73"/>
      <c r="R142" s="73"/>
      <c r="S142" s="73"/>
      <c r="T142" s="73"/>
      <c r="U142" s="73"/>
      <c r="V142" s="73"/>
      <c r="W142" s="73"/>
      <c r="X142" s="73"/>
      <c r="Y142" s="73"/>
    </row>
    <row r="143" spans="1:28" ht="18">
      <c r="A143" s="25" t="s">
        <v>120</v>
      </c>
      <c r="B143" s="26" t="s">
        <v>110</v>
      </c>
      <c r="C143" s="13" t="s">
        <v>121</v>
      </c>
      <c r="D143" s="27" t="s">
        <v>122</v>
      </c>
      <c r="E143" s="27" t="s">
        <v>113</v>
      </c>
      <c r="F143" s="27" t="s">
        <v>123</v>
      </c>
      <c r="G143" s="27"/>
      <c r="H143" s="26" t="s">
        <v>111</v>
      </c>
      <c r="I143" s="13" t="s">
        <v>121</v>
      </c>
      <c r="J143" s="27" t="s">
        <v>122</v>
      </c>
      <c r="K143" s="27" t="s">
        <v>113</v>
      </c>
      <c r="L143" s="27" t="s">
        <v>123</v>
      </c>
      <c r="O143" t="s">
        <v>110</v>
      </c>
      <c r="P143" s="73" t="s">
        <v>121</v>
      </c>
      <c r="Q143" s="73" t="s">
        <v>122</v>
      </c>
      <c r="R143" s="73" t="s">
        <v>113</v>
      </c>
      <c r="S143" s="73" t="s">
        <v>123</v>
      </c>
      <c r="T143" s="73"/>
      <c r="U143" s="73" t="s">
        <v>111</v>
      </c>
      <c r="V143" s="73" t="s">
        <v>121</v>
      </c>
      <c r="W143" s="73" t="s">
        <v>122</v>
      </c>
      <c r="X143" s="73" t="s">
        <v>113</v>
      </c>
      <c r="Y143" s="73" t="s">
        <v>123</v>
      </c>
    </row>
    <row r="144" spans="1:28">
      <c r="B144" t="s">
        <v>124</v>
      </c>
      <c r="C144" s="14">
        <f>P144/P285*C3*P167*$F$188</f>
        <v>6537321.0585528715</v>
      </c>
      <c r="D144" s="14">
        <v>0</v>
      </c>
      <c r="E144" s="14">
        <v>0</v>
      </c>
      <c r="F144" s="14">
        <v>0</v>
      </c>
      <c r="I144" s="14">
        <f>V144/V285*I3*V167*$F$188</f>
        <v>6354720.0569173684</v>
      </c>
      <c r="J144" s="14">
        <v>0</v>
      </c>
      <c r="K144" s="14">
        <v>0</v>
      </c>
      <c r="L144" s="14">
        <v>0</v>
      </c>
      <c r="P144" s="14">
        <v>7263690</v>
      </c>
      <c r="Q144" s="14">
        <v>0</v>
      </c>
      <c r="R144" s="14">
        <v>0</v>
      </c>
      <c r="S144" s="14">
        <v>0</v>
      </c>
      <c r="T144" s="14"/>
      <c r="U144" s="14"/>
      <c r="V144" s="14">
        <v>7060800</v>
      </c>
      <c r="W144" s="14">
        <v>0</v>
      </c>
      <c r="X144" s="14">
        <v>0</v>
      </c>
      <c r="Y144" s="14">
        <v>0</v>
      </c>
    </row>
    <row r="145" spans="2:25">
      <c r="B145" s="24" t="s">
        <v>125</v>
      </c>
      <c r="C145" s="14">
        <f t="shared" ref="C145:C164" si="45">P145/P286*C4*P168*$F$188</f>
        <v>4947840.0697528897</v>
      </c>
      <c r="D145" s="14">
        <v>0</v>
      </c>
      <c r="E145" s="14">
        <v>0</v>
      </c>
      <c r="F145" s="14">
        <v>0</v>
      </c>
      <c r="H145" s="24"/>
      <c r="I145" s="14">
        <f t="shared" ref="I145:I164" si="46">V145/V286*I4*V168*$F$188</f>
        <v>4919211.0563517613</v>
      </c>
      <c r="J145" s="14">
        <v>0</v>
      </c>
      <c r="K145" s="14">
        <v>0</v>
      </c>
      <c r="L145" s="14">
        <v>0</v>
      </c>
      <c r="P145" s="14">
        <v>5497600</v>
      </c>
      <c r="Q145" s="14">
        <v>0</v>
      </c>
      <c r="R145" s="14">
        <v>0</v>
      </c>
      <c r="S145" s="14">
        <v>0</v>
      </c>
      <c r="T145" s="14"/>
      <c r="U145" s="14"/>
      <c r="V145" s="14">
        <v>5465790</v>
      </c>
      <c r="W145" s="14">
        <v>0</v>
      </c>
      <c r="X145" s="14">
        <v>0</v>
      </c>
      <c r="Y145" s="14">
        <v>0</v>
      </c>
    </row>
    <row r="146" spans="2:25">
      <c r="B146" s="24" t="s">
        <v>91</v>
      </c>
      <c r="C146" s="14">
        <f t="shared" si="45"/>
        <v>4695858.0702762827</v>
      </c>
      <c r="D146" s="14">
        <f>Q146/Q287*D5*Q169*$F$188</f>
        <v>2368197.008058432</v>
      </c>
      <c r="E146" s="14">
        <v>0</v>
      </c>
      <c r="F146" s="14">
        <v>0</v>
      </c>
      <c r="H146" s="24"/>
      <c r="I146" s="14">
        <f t="shared" si="46"/>
        <v>3940227.0534016704</v>
      </c>
      <c r="J146" s="14">
        <f>W146/W287*J5*W169*$F$188</f>
        <v>3094083.1565511166</v>
      </c>
      <c r="K146" s="14">
        <v>0</v>
      </c>
      <c r="L146" s="14">
        <v>0</v>
      </c>
      <c r="P146" s="14">
        <v>5217620</v>
      </c>
      <c r="Q146" s="14">
        <v>2631330</v>
      </c>
      <c r="R146" s="14">
        <v>0</v>
      </c>
      <c r="S146" s="14">
        <v>0</v>
      </c>
      <c r="T146" s="14"/>
      <c r="U146" s="14"/>
      <c r="V146" s="14">
        <v>4378030</v>
      </c>
      <c r="W146" s="14">
        <v>3437870</v>
      </c>
      <c r="X146" s="14">
        <v>0</v>
      </c>
      <c r="Y146" s="14">
        <v>0</v>
      </c>
    </row>
    <row r="147" spans="2:25">
      <c r="B147" s="24" t="s">
        <v>92</v>
      </c>
      <c r="C147" s="14">
        <f t="shared" si="45"/>
        <v>299215.79894041491</v>
      </c>
      <c r="D147" s="14">
        <f t="shared" ref="D147:D164" si="47">Q147/Q288*D6*Q170*$F$188</f>
        <v>2343042.0057240748</v>
      </c>
      <c r="E147" s="14">
        <f>R147/R288*E6*R170*$F$188</f>
        <v>3437351.9864905849</v>
      </c>
      <c r="F147" s="14">
        <v>0</v>
      </c>
      <c r="H147" s="24"/>
      <c r="I147" s="14">
        <f t="shared" si="46"/>
        <v>518813.10726642254</v>
      </c>
      <c r="J147" s="14">
        <f t="shared" ref="J147:J164" si="48">W147/W288*J6*W170*$F$188</f>
        <v>2686751.9712417913</v>
      </c>
      <c r="K147" s="14">
        <f>X147/X288*K6*X170*$F$188</f>
        <v>2996576.8971537114</v>
      </c>
      <c r="L147" s="14">
        <v>0</v>
      </c>
      <c r="P147" s="14">
        <v>332462</v>
      </c>
      <c r="Q147" s="14">
        <v>2603380</v>
      </c>
      <c r="R147" s="14">
        <v>3819280</v>
      </c>
      <c r="S147" s="14">
        <v>0</v>
      </c>
      <c r="T147" s="14"/>
      <c r="U147" s="14"/>
      <c r="V147" s="14">
        <v>576459</v>
      </c>
      <c r="W147" s="14">
        <v>2985280</v>
      </c>
      <c r="X147" s="14">
        <v>3329530</v>
      </c>
      <c r="Y147" s="14">
        <v>0</v>
      </c>
    </row>
    <row r="148" spans="2:25">
      <c r="B148" s="24" t="s">
        <v>93</v>
      </c>
      <c r="C148" s="14">
        <f t="shared" si="45"/>
        <v>0</v>
      </c>
      <c r="D148" s="14">
        <f t="shared" si="47"/>
        <v>2951874.0811800701</v>
      </c>
      <c r="E148" s="14">
        <f t="shared" ref="E148:E164" si="49">R148/R289*E7*R171*$F$188</f>
        <v>3437351.9181865854</v>
      </c>
      <c r="F148" s="14">
        <f>S148/S289*F7*S171*$F$188</f>
        <v>333896.4470945425</v>
      </c>
      <c r="H148" s="24"/>
      <c r="I148" s="14">
        <f t="shared" si="46"/>
        <v>231704.10223863364</v>
      </c>
      <c r="J148" s="14">
        <f t="shared" si="48"/>
        <v>3765653.8653819608</v>
      </c>
      <c r="K148" s="14">
        <f t="shared" ref="K148:K164" si="50">X148/X289*K7*X171*$F$188</f>
        <v>2996576.8914409736</v>
      </c>
      <c r="L148" s="14">
        <f>Y148/Y289*L7*Y171*$F$188</f>
        <v>125183.70547227147</v>
      </c>
      <c r="P148" s="14">
        <v>0</v>
      </c>
      <c r="Q148" s="14">
        <v>3279860</v>
      </c>
      <c r="R148" s="14">
        <v>3819280</v>
      </c>
      <c r="S148" s="14">
        <v>370996</v>
      </c>
      <c r="T148" s="14"/>
      <c r="U148" s="14"/>
      <c r="V148" s="14">
        <v>257449</v>
      </c>
      <c r="W148" s="14">
        <v>4184060</v>
      </c>
      <c r="X148" s="14">
        <v>3329530</v>
      </c>
      <c r="Y148" s="14">
        <v>139093</v>
      </c>
    </row>
    <row r="149" spans="2:25">
      <c r="B149" s="24" t="s">
        <v>94</v>
      </c>
      <c r="C149" s="14">
        <f t="shared" si="45"/>
        <v>5746.7881325935641</v>
      </c>
      <c r="D149" s="14">
        <f t="shared" si="47"/>
        <v>2231279.938121309</v>
      </c>
      <c r="E149" s="14">
        <f t="shared" si="49"/>
        <v>2035601.9235481708</v>
      </c>
      <c r="F149" s="14">
        <f t="shared" ref="F149:F164" si="51">S149/S290*F8*S172*$F$188</f>
        <v>125515.77050584338</v>
      </c>
      <c r="H149" s="24"/>
      <c r="I149" s="14">
        <f t="shared" si="46"/>
        <v>572444.11175830173</v>
      </c>
      <c r="J149" s="14">
        <f t="shared" si="48"/>
        <v>3325041.1424339381</v>
      </c>
      <c r="K149" s="14">
        <f t="shared" si="50"/>
        <v>1876194.0874966157</v>
      </c>
      <c r="L149" s="14">
        <f t="shared" ref="L149:L163" si="52">Y149/Y290*L8*Y172*$F$188</f>
        <v>47810.423256954578</v>
      </c>
      <c r="P149" s="14">
        <v>6385.32</v>
      </c>
      <c r="Q149" s="14">
        <v>2479200</v>
      </c>
      <c r="R149" s="14">
        <v>2261780</v>
      </c>
      <c r="S149" s="14">
        <v>139462</v>
      </c>
      <c r="T149" s="14"/>
      <c r="U149" s="14"/>
      <c r="V149" s="14">
        <v>636049</v>
      </c>
      <c r="W149" s="14">
        <v>3694490</v>
      </c>
      <c r="X149" s="14">
        <v>2084660</v>
      </c>
      <c r="Y149" s="14">
        <v>53122.7</v>
      </c>
    </row>
    <row r="150" spans="2:25">
      <c r="B150" s="24" t="s">
        <v>95</v>
      </c>
      <c r="C150" s="14">
        <f t="shared" si="45"/>
        <v>219906.00620650651</v>
      </c>
      <c r="D150" s="14">
        <f t="shared" si="47"/>
        <v>1731708.0344224439</v>
      </c>
      <c r="E150" s="14">
        <f t="shared" si="49"/>
        <v>871624.78665599611</v>
      </c>
      <c r="F150" s="14">
        <f t="shared" si="51"/>
        <v>188690.37627787775</v>
      </c>
      <c r="H150" s="24"/>
      <c r="I150" s="14">
        <f t="shared" si="46"/>
        <v>766935.01680079103</v>
      </c>
      <c r="J150" s="14">
        <f t="shared" si="48"/>
        <v>2466171.0891936631</v>
      </c>
      <c r="K150" s="14">
        <f t="shared" si="50"/>
        <v>878501.67223191424</v>
      </c>
      <c r="L150" s="14">
        <f t="shared" si="52"/>
        <v>59347.006664613371</v>
      </c>
      <c r="P150" s="14">
        <v>244340</v>
      </c>
      <c r="Q150" s="14">
        <v>1924120</v>
      </c>
      <c r="R150" s="14">
        <v>968472</v>
      </c>
      <c r="S150" s="14">
        <v>209656</v>
      </c>
      <c r="T150" s="14"/>
      <c r="U150" s="14"/>
      <c r="V150" s="14">
        <v>852150</v>
      </c>
      <c r="W150" s="14">
        <v>2740190</v>
      </c>
      <c r="X150" s="14">
        <v>976113</v>
      </c>
      <c r="Y150" s="14">
        <v>65941.100000000006</v>
      </c>
    </row>
    <row r="151" spans="2:25">
      <c r="B151" s="24" t="s">
        <v>96</v>
      </c>
      <c r="C151" s="14">
        <f t="shared" si="45"/>
        <v>441630.90313602478</v>
      </c>
      <c r="D151" s="14">
        <f t="shared" si="47"/>
        <v>2277981.1215611799</v>
      </c>
      <c r="E151" s="14">
        <f t="shared" si="49"/>
        <v>1006407.0498833434</v>
      </c>
      <c r="F151" s="14">
        <f t="shared" si="51"/>
        <v>169333.20522698824</v>
      </c>
      <c r="H151" s="24"/>
      <c r="I151" s="14">
        <f t="shared" si="46"/>
        <v>1317960.0189964063</v>
      </c>
      <c r="J151" s="14">
        <f t="shared" si="48"/>
        <v>3122154.1246252521</v>
      </c>
      <c r="K151" s="14">
        <f t="shared" si="50"/>
        <v>1015281.0214897755</v>
      </c>
      <c r="L151" s="14">
        <f t="shared" si="52"/>
        <v>50916.440228613574</v>
      </c>
      <c r="P151" s="14">
        <v>490701</v>
      </c>
      <c r="Q151" s="14">
        <v>2531090</v>
      </c>
      <c r="R151" s="14">
        <v>1118230</v>
      </c>
      <c r="S151" s="14">
        <v>188148</v>
      </c>
      <c r="T151" s="14"/>
      <c r="U151" s="14"/>
      <c r="V151" s="14">
        <v>1464400</v>
      </c>
      <c r="W151" s="14">
        <v>3469060</v>
      </c>
      <c r="X151" s="14">
        <v>1128090</v>
      </c>
      <c r="Y151" s="14">
        <v>56573.8</v>
      </c>
    </row>
    <row r="152" spans="2:25">
      <c r="B152" s="24" t="s">
        <v>97</v>
      </c>
      <c r="C152" s="14">
        <f t="shared" si="45"/>
        <v>617279.40623845509</v>
      </c>
      <c r="D152" s="14">
        <f t="shared" si="47"/>
        <v>2095785.166298731</v>
      </c>
      <c r="E152" s="14">
        <f t="shared" si="49"/>
        <v>885712.52973542351</v>
      </c>
      <c r="F152" s="14">
        <f t="shared" si="51"/>
        <v>140823.87041997456</v>
      </c>
      <c r="H152" s="24"/>
      <c r="I152" s="14">
        <f t="shared" si="46"/>
        <v>1439189.9847405953</v>
      </c>
      <c r="J152" s="14">
        <f t="shared" si="48"/>
        <v>2681766.3123101182</v>
      </c>
      <c r="K152" s="14">
        <f t="shared" si="50"/>
        <v>871402.48876277101</v>
      </c>
      <c r="L152" s="14">
        <f t="shared" si="52"/>
        <v>40156.30267851003</v>
      </c>
      <c r="P152" s="14">
        <v>685866</v>
      </c>
      <c r="Q152" s="14">
        <v>2328650</v>
      </c>
      <c r="R152" s="14">
        <v>984125</v>
      </c>
      <c r="S152" s="14">
        <v>156471</v>
      </c>
      <c r="T152" s="14"/>
      <c r="U152" s="14"/>
      <c r="V152" s="14">
        <v>1599100</v>
      </c>
      <c r="W152" s="14">
        <v>2979740</v>
      </c>
      <c r="X152" s="14">
        <v>968225</v>
      </c>
      <c r="Y152" s="14">
        <v>44618.1</v>
      </c>
    </row>
    <row r="153" spans="2:25">
      <c r="B153" s="24" t="s">
        <v>98</v>
      </c>
      <c r="C153" s="14">
        <f t="shared" si="45"/>
        <v>672736.51382077718</v>
      </c>
      <c r="D153" s="14">
        <f t="shared" si="47"/>
        <v>1642689.0489651316</v>
      </c>
      <c r="E153" s="14">
        <f t="shared" si="49"/>
        <v>690920.97929940384</v>
      </c>
      <c r="F153" s="14">
        <f t="shared" si="51"/>
        <v>95453.979848428862</v>
      </c>
      <c r="H153" s="24"/>
      <c r="I153" s="14">
        <f t="shared" si="46"/>
        <v>1561517.9966125898</v>
      </c>
      <c r="J153" s="14">
        <f t="shared" si="48"/>
        <v>2176316.7846694784</v>
      </c>
      <c r="K153" s="14">
        <f t="shared" si="50"/>
        <v>698519.6837146664</v>
      </c>
      <c r="L153" s="14">
        <f t="shared" si="52"/>
        <v>29118.869321120772</v>
      </c>
      <c r="P153" s="14">
        <v>747485</v>
      </c>
      <c r="Q153" s="14">
        <v>1825210</v>
      </c>
      <c r="R153" s="14">
        <v>767690</v>
      </c>
      <c r="S153" s="14">
        <v>106060</v>
      </c>
      <c r="T153" s="14"/>
      <c r="U153" s="14"/>
      <c r="V153" s="14">
        <v>1735020</v>
      </c>
      <c r="W153" s="14">
        <v>2418130</v>
      </c>
      <c r="X153" s="14">
        <v>776133</v>
      </c>
      <c r="Y153" s="14">
        <v>32354.3</v>
      </c>
    </row>
    <row r="154" spans="2:25">
      <c r="B154" s="24" t="s">
        <v>99</v>
      </c>
      <c r="C154" s="14">
        <f t="shared" si="45"/>
        <v>610834.48996417271</v>
      </c>
      <c r="D154" s="14">
        <f t="shared" si="47"/>
        <v>1269638.9868439499</v>
      </c>
      <c r="E154" s="14">
        <f t="shared" si="49"/>
        <v>487699.15968677634</v>
      </c>
      <c r="F154" s="14">
        <f t="shared" si="51"/>
        <v>61620.981146987433</v>
      </c>
      <c r="H154" s="24"/>
      <c r="I154" s="14">
        <f t="shared" si="46"/>
        <v>1464759.026937671</v>
      </c>
      <c r="J154" s="14">
        <f t="shared" si="48"/>
        <v>1545129.2854404701</v>
      </c>
      <c r="K154" s="14">
        <f t="shared" si="50"/>
        <v>533845.89242581371</v>
      </c>
      <c r="L154" s="14">
        <f t="shared" si="52"/>
        <v>21353.868939537719</v>
      </c>
      <c r="P154" s="14">
        <v>678705</v>
      </c>
      <c r="Q154" s="14">
        <v>1410710</v>
      </c>
      <c r="R154" s="14">
        <v>541888</v>
      </c>
      <c r="S154" s="14">
        <v>68467.8</v>
      </c>
      <c r="T154" s="14"/>
      <c r="U154" s="14"/>
      <c r="V154" s="14">
        <v>1627510</v>
      </c>
      <c r="W154" s="14">
        <v>1716810</v>
      </c>
      <c r="X154" s="14">
        <v>593162</v>
      </c>
      <c r="Y154" s="14">
        <v>23726.5</v>
      </c>
    </row>
    <row r="155" spans="2:25">
      <c r="B155" s="24" t="s">
        <v>100</v>
      </c>
      <c r="C155" s="14">
        <f t="shared" si="45"/>
        <v>583828.19774613169</v>
      </c>
      <c r="D155" s="14">
        <f t="shared" si="47"/>
        <v>1004463.0814658371</v>
      </c>
      <c r="E155" s="14">
        <f t="shared" si="49"/>
        <v>322858.75845338043</v>
      </c>
      <c r="F155" s="14">
        <f t="shared" si="51"/>
        <v>36717.485476255315</v>
      </c>
      <c r="H155" s="24"/>
      <c r="I155" s="14">
        <f t="shared" si="46"/>
        <v>1447748.9904025004</v>
      </c>
      <c r="J155" s="14">
        <f t="shared" si="48"/>
        <v>1058094.041602042</v>
      </c>
      <c r="K155" s="14">
        <f t="shared" si="50"/>
        <v>369060.34989949811</v>
      </c>
      <c r="L155" s="14">
        <f t="shared" si="52"/>
        <v>14309.832972099992</v>
      </c>
      <c r="P155" s="14">
        <v>648698</v>
      </c>
      <c r="Q155" s="14">
        <v>1116070</v>
      </c>
      <c r="R155" s="14">
        <v>358732</v>
      </c>
      <c r="S155" s="14">
        <v>40797.199999999997</v>
      </c>
      <c r="T155" s="14"/>
      <c r="U155" s="14"/>
      <c r="V155" s="14">
        <v>1608610</v>
      </c>
      <c r="W155" s="14">
        <v>1175660</v>
      </c>
      <c r="X155" s="14">
        <v>410067</v>
      </c>
      <c r="Y155" s="14">
        <v>15899.8</v>
      </c>
    </row>
    <row r="156" spans="2:25">
      <c r="B156" s="24" t="s">
        <v>101</v>
      </c>
      <c r="C156" s="14">
        <f t="shared" si="45"/>
        <v>527471.97450082062</v>
      </c>
      <c r="D156" s="14">
        <f t="shared" si="47"/>
        <v>776669.3882583204</v>
      </c>
      <c r="E156" s="14">
        <f t="shared" si="49"/>
        <v>235002.55243808159</v>
      </c>
      <c r="F156" s="14">
        <f t="shared" si="51"/>
        <v>24459.822724812238</v>
      </c>
      <c r="H156" s="24"/>
      <c r="I156" s="14">
        <f t="shared" si="46"/>
        <v>1446876.0285067672</v>
      </c>
      <c r="J156" s="14">
        <f t="shared" si="48"/>
        <v>744056.29098331009</v>
      </c>
      <c r="K156" s="14">
        <f t="shared" si="50"/>
        <v>277932.67234310735</v>
      </c>
      <c r="L156" s="14">
        <f t="shared" si="52"/>
        <v>10538.295071731367</v>
      </c>
      <c r="P156" s="14">
        <v>586080</v>
      </c>
      <c r="Q156" s="14">
        <v>862966</v>
      </c>
      <c r="R156" s="14">
        <v>261114</v>
      </c>
      <c r="S156" s="14">
        <v>27177.599999999999</v>
      </c>
      <c r="T156" s="14"/>
      <c r="U156" s="14"/>
      <c r="V156" s="14">
        <v>1607640</v>
      </c>
      <c r="W156" s="14">
        <v>826729</v>
      </c>
      <c r="X156" s="14">
        <v>308814</v>
      </c>
      <c r="Y156" s="14">
        <v>11709.2</v>
      </c>
    </row>
    <row r="157" spans="2:25">
      <c r="B157" s="24" t="s">
        <v>102</v>
      </c>
      <c r="C157" s="14">
        <f t="shared" si="45"/>
        <v>464849.0084585764</v>
      </c>
      <c r="D157" s="14">
        <f t="shared" si="47"/>
        <v>558471.53110397747</v>
      </c>
      <c r="E157" s="14">
        <f t="shared" si="49"/>
        <v>161623.8081374827</v>
      </c>
      <c r="F157" s="14">
        <f t="shared" si="51"/>
        <v>15641.01908951396</v>
      </c>
      <c r="H157" s="24"/>
      <c r="I157" s="14">
        <f t="shared" si="46"/>
        <v>1302470.8445455842</v>
      </c>
      <c r="J157" s="14">
        <f t="shared" si="48"/>
        <v>465236.32610124542</v>
      </c>
      <c r="K157" s="14">
        <f t="shared" si="50"/>
        <v>191296.69194973493</v>
      </c>
      <c r="L157" s="14">
        <f t="shared" si="52"/>
        <v>6711.1918599405262</v>
      </c>
      <c r="P157" s="14">
        <v>516499</v>
      </c>
      <c r="Q157" s="14">
        <v>620524</v>
      </c>
      <c r="R157" s="14">
        <v>179582</v>
      </c>
      <c r="S157" s="14">
        <v>17378.900000000001</v>
      </c>
      <c r="T157" s="14"/>
      <c r="U157" s="14"/>
      <c r="V157" s="14">
        <v>1447190</v>
      </c>
      <c r="W157" s="14">
        <v>516929</v>
      </c>
      <c r="X157" s="14">
        <v>212552</v>
      </c>
      <c r="Y157" s="14">
        <v>7456.89</v>
      </c>
    </row>
    <row r="158" spans="2:25">
      <c r="B158" s="24" t="s">
        <v>103</v>
      </c>
      <c r="C158" s="14">
        <f t="shared" si="45"/>
        <v>384227.28221537056</v>
      </c>
      <c r="D158" s="14">
        <f t="shared" si="47"/>
        <v>332232.07197380339</v>
      </c>
      <c r="E158" s="14">
        <f t="shared" si="49"/>
        <v>98782.321418057807</v>
      </c>
      <c r="F158" s="14">
        <f t="shared" si="51"/>
        <v>8486.064530159585</v>
      </c>
      <c r="H158" s="24"/>
      <c r="I158" s="14">
        <f t="shared" si="46"/>
        <v>1028664.023902623</v>
      </c>
      <c r="J158" s="14">
        <f t="shared" si="48"/>
        <v>261070.67537108602</v>
      </c>
      <c r="K158" s="14">
        <f t="shared" si="50"/>
        <v>122188.4555467372</v>
      </c>
      <c r="L158" s="14">
        <f t="shared" si="52"/>
        <v>3827.0743842400184</v>
      </c>
      <c r="P158" s="14">
        <v>426919</v>
      </c>
      <c r="Q158" s="14">
        <v>369147</v>
      </c>
      <c r="R158" s="14">
        <v>109758</v>
      </c>
      <c r="S158" s="14">
        <v>9428.9599999999991</v>
      </c>
      <c r="T158" s="14"/>
      <c r="U158" s="14"/>
      <c r="V158" s="14">
        <v>1142960</v>
      </c>
      <c r="W158" s="14">
        <v>290079</v>
      </c>
      <c r="X158" s="14">
        <v>135765</v>
      </c>
      <c r="Y158" s="14">
        <v>4252.28</v>
      </c>
    </row>
    <row r="159" spans="2:25">
      <c r="B159" s="24" t="s">
        <v>104</v>
      </c>
      <c r="C159" s="14">
        <f t="shared" si="45"/>
        <v>272545.40980510192</v>
      </c>
      <c r="D159" s="14">
        <f t="shared" si="47"/>
        <v>178096.9657612679</v>
      </c>
      <c r="E159" s="14">
        <f t="shared" si="49"/>
        <v>55020.866838402973</v>
      </c>
      <c r="F159" s="14">
        <f t="shared" si="51"/>
        <v>4326.2517713985699</v>
      </c>
      <c r="H159" s="24"/>
      <c r="I159" s="14">
        <f t="shared" si="46"/>
        <v>726299.4143904876</v>
      </c>
      <c r="J159" s="14">
        <f t="shared" si="48"/>
        <v>142710.4233886135</v>
      </c>
      <c r="K159" s="14">
        <f t="shared" si="50"/>
        <v>72048.543773450641</v>
      </c>
      <c r="L159" s="14">
        <f t="shared" si="52"/>
        <v>1941.2930436022059</v>
      </c>
      <c r="P159" s="14">
        <v>302828</v>
      </c>
      <c r="Q159" s="14">
        <v>197885</v>
      </c>
      <c r="R159" s="14">
        <v>61134.2</v>
      </c>
      <c r="S159" s="14">
        <v>4806.92</v>
      </c>
      <c r="T159" s="14"/>
      <c r="U159" s="14"/>
      <c r="V159" s="14">
        <v>807000</v>
      </c>
      <c r="W159" s="14">
        <v>158567</v>
      </c>
      <c r="X159" s="14">
        <v>80053.8</v>
      </c>
      <c r="Y159" s="14">
        <v>2156.9499999999998</v>
      </c>
    </row>
    <row r="160" spans="2:25">
      <c r="B160" s="24" t="s">
        <v>105</v>
      </c>
      <c r="C160" s="14">
        <f t="shared" si="45"/>
        <v>144001.62150405985</v>
      </c>
      <c r="D160" s="14">
        <f t="shared" si="47"/>
        <v>72714.055607529212</v>
      </c>
      <c r="E160" s="14">
        <f t="shared" si="49"/>
        <v>23738.695821945308</v>
      </c>
      <c r="F160" s="14">
        <f t="shared" si="51"/>
        <v>1663.8752209884319</v>
      </c>
      <c r="H160" s="24"/>
      <c r="I160" s="14">
        <f t="shared" si="46"/>
        <v>360751.5612764823</v>
      </c>
      <c r="J160" s="14">
        <f t="shared" si="48"/>
        <v>66668.252467476123</v>
      </c>
      <c r="K160" s="14">
        <f t="shared" si="50"/>
        <v>32557.796184734652</v>
      </c>
      <c r="L160" s="14">
        <f t="shared" si="52"/>
        <v>831.99986095450129</v>
      </c>
      <c r="P160" s="14">
        <v>160002</v>
      </c>
      <c r="Q160" s="14">
        <v>80793.3</v>
      </c>
      <c r="R160" s="14">
        <v>26376.400000000001</v>
      </c>
      <c r="S160" s="14">
        <v>1848.82</v>
      </c>
      <c r="T160" s="14"/>
      <c r="U160" s="14"/>
      <c r="V160" s="14">
        <v>400836</v>
      </c>
      <c r="W160" s="14">
        <v>74075.899999999994</v>
      </c>
      <c r="X160" s="14">
        <v>36175.199999999997</v>
      </c>
      <c r="Y160" s="14">
        <v>924.40800000000002</v>
      </c>
    </row>
    <row r="161" spans="1:28">
      <c r="B161" s="24" t="s">
        <v>106</v>
      </c>
      <c r="C161" s="14">
        <f t="shared" si="45"/>
        <v>56753.118515034635</v>
      </c>
      <c r="D161" s="14">
        <f t="shared" si="47"/>
        <v>23739.096937400387</v>
      </c>
      <c r="E161" s="14">
        <f t="shared" si="49"/>
        <v>6544.9640196389246</v>
      </c>
      <c r="F161" s="14">
        <f t="shared" si="51"/>
        <v>443.64819832959574</v>
      </c>
      <c r="H161" s="24"/>
      <c r="I161" s="14">
        <f t="shared" si="46"/>
        <v>156634.13613742645</v>
      </c>
      <c r="J161" s="14">
        <f t="shared" si="48"/>
        <v>25624.624815985262</v>
      </c>
      <c r="K161" s="14">
        <f t="shared" si="50"/>
        <v>10594.082728523481</v>
      </c>
      <c r="L161" s="14">
        <f t="shared" si="52"/>
        <v>221.87624869548529</v>
      </c>
      <c r="P161" s="14">
        <v>63059.5</v>
      </c>
      <c r="Q161" s="14">
        <v>26376.400000000001</v>
      </c>
      <c r="R161" s="14">
        <v>7272.01</v>
      </c>
      <c r="S161" s="14">
        <v>493.01799999999997</v>
      </c>
      <c r="T161" s="14"/>
      <c r="U161" s="14"/>
      <c r="V161" s="14">
        <v>174037</v>
      </c>
      <c r="W161" s="14">
        <v>28471.8</v>
      </c>
      <c r="X161" s="14">
        <v>11770.8</v>
      </c>
      <c r="Y161" s="14">
        <v>246.50899999999999</v>
      </c>
    </row>
    <row r="162" spans="1:28">
      <c r="B162" s="24" t="s">
        <v>107</v>
      </c>
      <c r="C162" s="14">
        <f t="shared" si="45"/>
        <v>15201.069772834437</v>
      </c>
      <c r="D162" s="14">
        <f t="shared" si="47"/>
        <v>5436.0382894974291</v>
      </c>
      <c r="E162" s="14">
        <f t="shared" si="49"/>
        <v>1164.6811165362697</v>
      </c>
      <c r="F162" s="14">
        <f t="shared" si="51"/>
        <v>55.446172096328532</v>
      </c>
      <c r="H162" s="24"/>
      <c r="I162" s="14">
        <f t="shared" si="46"/>
        <v>48950.538851103833</v>
      </c>
      <c r="J162" s="14">
        <f t="shared" si="48"/>
        <v>6600.2891549285578</v>
      </c>
      <c r="K162" s="14">
        <f t="shared" si="50"/>
        <v>2218.5049963354813</v>
      </c>
      <c r="L162" s="14">
        <f t="shared" si="52"/>
        <v>55.462579909928635</v>
      </c>
      <c r="P162" s="14">
        <v>16890.7</v>
      </c>
      <c r="Q162" s="14">
        <v>6039.47</v>
      </c>
      <c r="R162" s="14">
        <v>1294.17</v>
      </c>
      <c r="S162" s="14">
        <v>61.627200000000002</v>
      </c>
      <c r="T162" s="14"/>
      <c r="U162" s="14"/>
      <c r="V162" s="14">
        <v>54391.6</v>
      </c>
      <c r="W162" s="14">
        <v>7333.64</v>
      </c>
      <c r="X162" s="14">
        <v>2465.09</v>
      </c>
      <c r="Y162" s="14">
        <v>61.627200000000002</v>
      </c>
    </row>
    <row r="163" spans="1:28">
      <c r="B163" s="24" t="s">
        <v>108</v>
      </c>
      <c r="C163" s="14">
        <f t="shared" si="45"/>
        <v>3243.2186991252879</v>
      </c>
      <c r="D163" s="14">
        <f t="shared" si="47"/>
        <v>943.05275880943441</v>
      </c>
      <c r="E163" s="14">
        <f t="shared" si="49"/>
        <v>0</v>
      </c>
      <c r="F163" s="14">
        <f t="shared" si="51"/>
        <v>0</v>
      </c>
      <c r="H163" s="24"/>
      <c r="I163" s="14">
        <f t="shared" si="46"/>
        <v>12808.402846128523</v>
      </c>
      <c r="J163" s="14">
        <f t="shared" si="48"/>
        <v>998.12888594529602</v>
      </c>
      <c r="K163" s="14">
        <f t="shared" si="50"/>
        <v>221.74024552785124</v>
      </c>
      <c r="L163" s="14">
        <f t="shared" si="52"/>
        <v>0</v>
      </c>
      <c r="P163" s="14">
        <v>3603.34</v>
      </c>
      <c r="Q163" s="14">
        <v>1047.6600000000001</v>
      </c>
      <c r="R163" s="14">
        <v>0</v>
      </c>
      <c r="S163" s="14">
        <v>0</v>
      </c>
      <c r="T163" s="14"/>
      <c r="U163" s="14"/>
      <c r="V163" s="14">
        <v>14231.2</v>
      </c>
      <c r="W163" s="14">
        <v>1109.29</v>
      </c>
      <c r="X163" s="14">
        <v>246.50899999999999</v>
      </c>
      <c r="Y163" s="14">
        <v>0</v>
      </c>
    </row>
    <row r="164" spans="1:28">
      <c r="B164" s="24" t="s">
        <v>109</v>
      </c>
      <c r="C164" s="14">
        <f t="shared" si="45"/>
        <v>127.90325406603165</v>
      </c>
      <c r="D164" s="14">
        <f t="shared" si="47"/>
        <v>166.13191866289168</v>
      </c>
      <c r="E164" s="14">
        <f t="shared" si="49"/>
        <v>0</v>
      </c>
      <c r="F164" s="14">
        <f t="shared" si="51"/>
        <v>0</v>
      </c>
      <c r="H164" s="24"/>
      <c r="I164" s="14">
        <f t="shared" si="46"/>
        <v>823.99189926691759</v>
      </c>
      <c r="J164" s="14">
        <f t="shared" si="48"/>
        <v>55.473197713562683</v>
      </c>
      <c r="K164" s="14">
        <f t="shared" si="50"/>
        <v>0</v>
      </c>
      <c r="L164" s="14">
        <v>0</v>
      </c>
      <c r="P164" s="14">
        <v>142.11799999999999</v>
      </c>
      <c r="Q164" s="14">
        <v>184.88200000000001</v>
      </c>
      <c r="R164" s="14">
        <v>0</v>
      </c>
      <c r="S164" s="14">
        <v>0</v>
      </c>
      <c r="T164" s="14"/>
      <c r="U164" s="14"/>
      <c r="V164" s="14">
        <v>915.37300000000005</v>
      </c>
      <c r="W164" s="14">
        <v>61.627200000000002</v>
      </c>
      <c r="X164" s="14">
        <v>0</v>
      </c>
      <c r="Y164" s="14">
        <v>0</v>
      </c>
    </row>
    <row r="165" spans="1:28">
      <c r="P165" s="73"/>
      <c r="Q165" s="73"/>
      <c r="R165" s="73"/>
      <c r="S165" s="73"/>
      <c r="T165" s="73"/>
      <c r="U165" s="73"/>
      <c r="V165" s="73"/>
      <c r="W165" s="73"/>
      <c r="X165" s="73"/>
      <c r="Y165" s="73"/>
    </row>
    <row r="166" spans="1:28" ht="18">
      <c r="A166" s="25" t="s">
        <v>126</v>
      </c>
      <c r="B166" s="26" t="s">
        <v>110</v>
      </c>
      <c r="C166" s="13" t="s">
        <v>121</v>
      </c>
      <c r="D166" s="27" t="s">
        <v>122</v>
      </c>
      <c r="E166" s="27" t="s">
        <v>113</v>
      </c>
      <c r="F166" s="27" t="s">
        <v>123</v>
      </c>
      <c r="G166" s="40"/>
      <c r="H166" s="26" t="s">
        <v>111</v>
      </c>
      <c r="I166" s="13" t="s">
        <v>121</v>
      </c>
      <c r="J166" s="27" t="s">
        <v>122</v>
      </c>
      <c r="K166" s="27" t="s">
        <v>113</v>
      </c>
      <c r="L166" s="27" t="s">
        <v>123</v>
      </c>
      <c r="P166" s="73"/>
      <c r="Q166" s="73"/>
      <c r="R166" s="73"/>
      <c r="S166" s="73"/>
      <c r="T166" s="73"/>
      <c r="U166" s="73"/>
      <c r="V166" s="73"/>
      <c r="W166" s="73"/>
      <c r="X166" s="73"/>
      <c r="Y166" s="73"/>
    </row>
    <row r="167" spans="1:28">
      <c r="B167" t="s">
        <v>124</v>
      </c>
      <c r="C167" s="14">
        <f>P144/P285*C26*P167*$E$188</f>
        <v>726368.97666241357</v>
      </c>
      <c r="D167" s="14">
        <v>0</v>
      </c>
      <c r="E167" s="14">
        <v>0</v>
      </c>
      <c r="F167" s="14">
        <v>0</v>
      </c>
      <c r="I167" s="14">
        <f>V144/V285*I26*V167*$E$188</f>
        <v>706079.97731428093</v>
      </c>
      <c r="J167" s="14">
        <v>0</v>
      </c>
      <c r="K167" s="14">
        <v>0</v>
      </c>
      <c r="L167" s="14">
        <v>0</v>
      </c>
      <c r="M167" s="14"/>
      <c r="P167" s="73">
        <v>0.74831711423520497</v>
      </c>
      <c r="Q167" s="73">
        <v>0</v>
      </c>
      <c r="R167" s="73">
        <v>0</v>
      </c>
      <c r="S167" s="73">
        <v>0</v>
      </c>
      <c r="T167" s="73"/>
      <c r="U167" s="73"/>
      <c r="V167" s="73">
        <v>0.72348442553191483</v>
      </c>
      <c r="W167" s="73">
        <v>0</v>
      </c>
      <c r="X167" s="73">
        <v>0</v>
      </c>
      <c r="Y167" s="73">
        <v>0</v>
      </c>
      <c r="AB167" s="14">
        <f>SUM(C144,C167)</f>
        <v>7263690.0352152847</v>
      </c>
    </row>
    <row r="168" spans="1:28">
      <c r="B168" s="24" t="s">
        <v>125</v>
      </c>
      <c r="C168" s="14">
        <f t="shared" ref="C168:C187" si="53">P145/P286*C27*P168*$E$188</f>
        <v>549759.97219839052</v>
      </c>
      <c r="D168" s="14">
        <v>0</v>
      </c>
      <c r="E168" s="14">
        <v>0</v>
      </c>
      <c r="F168" s="14">
        <v>0</v>
      </c>
      <c r="H168" s="24"/>
      <c r="I168" s="14">
        <f t="shared" ref="I168:I187" si="54">V145/V286*I27*V168*$E$188</f>
        <v>546578.97753971687</v>
      </c>
      <c r="J168" s="14">
        <v>0</v>
      </c>
      <c r="K168" s="14">
        <v>0</v>
      </c>
      <c r="L168" s="14">
        <v>0</v>
      </c>
      <c r="P168" s="73">
        <v>0.6771140849002435</v>
      </c>
      <c r="Q168" s="73">
        <v>0</v>
      </c>
      <c r="R168" s="73">
        <v>0</v>
      </c>
      <c r="S168" s="73">
        <v>0</v>
      </c>
      <c r="T168" s="73"/>
      <c r="U168" s="73"/>
      <c r="V168" s="73">
        <v>0.65371506955313641</v>
      </c>
      <c r="W168" s="73">
        <v>0</v>
      </c>
      <c r="X168" s="73">
        <v>0</v>
      </c>
      <c r="Y168" s="73">
        <v>0</v>
      </c>
      <c r="AB168" s="14">
        <f t="shared" ref="AB168:AB187" si="55">SUM(C145,C168)</f>
        <v>5497600.0419512801</v>
      </c>
    </row>
    <row r="169" spans="1:28">
      <c r="B169" s="24" t="s">
        <v>91</v>
      </c>
      <c r="C169" s="14">
        <f t="shared" si="53"/>
        <v>521761.97198978066</v>
      </c>
      <c r="D169" s="14">
        <f>Q146/Q287*D28*Q169*$E$188</f>
        <v>263132.9967881277</v>
      </c>
      <c r="E169" s="14">
        <v>0</v>
      </c>
      <c r="F169" s="14">
        <v>0</v>
      </c>
      <c r="H169" s="24"/>
      <c r="I169" s="14">
        <f t="shared" si="54"/>
        <v>437802.97871554276</v>
      </c>
      <c r="J169" s="14">
        <f>W146/W287*J28*W169*$E$188</f>
        <v>343786.93760297255</v>
      </c>
      <c r="K169" s="14">
        <v>0</v>
      </c>
      <c r="L169" s="14">
        <v>0</v>
      </c>
      <c r="P169" s="73">
        <v>0.77301291338972533</v>
      </c>
      <c r="Q169" s="73">
        <v>0.64931204958751576</v>
      </c>
      <c r="R169" s="73">
        <v>0</v>
      </c>
      <c r="S169" s="73">
        <v>0</v>
      </c>
      <c r="T169" s="73"/>
      <c r="U169" s="73"/>
      <c r="V169" s="73">
        <v>0.69438076679854766</v>
      </c>
      <c r="W169" s="73">
        <v>0.82623917980968187</v>
      </c>
      <c r="X169" s="73">
        <v>0</v>
      </c>
      <c r="Y169" s="73">
        <v>0</v>
      </c>
      <c r="AB169" s="14">
        <f t="shared" si="55"/>
        <v>5217620.0422660634</v>
      </c>
    </row>
    <row r="170" spans="1:28">
      <c r="B170" s="24" t="s">
        <v>92</v>
      </c>
      <c r="C170" s="14">
        <f t="shared" si="53"/>
        <v>33246.200422321854</v>
      </c>
      <c r="D170" s="14">
        <f t="shared" ref="D170:D187" si="56">Q147/Q288*D29*Q170*$E$188</f>
        <v>260337.99771853906</v>
      </c>
      <c r="E170" s="14">
        <f>R147/R288*E29*R170*$E$188</f>
        <v>381928.0053844864</v>
      </c>
      <c r="F170" s="14">
        <v>0</v>
      </c>
      <c r="H170" s="24"/>
      <c r="I170" s="14">
        <f t="shared" si="54"/>
        <v>57645.897103801122</v>
      </c>
      <c r="J170" s="14">
        <f t="shared" ref="J170:J187" si="57">W147/W288*J29*W170*$E$188</f>
        <v>298528.01146224141</v>
      </c>
      <c r="K170" s="14">
        <f>X147/X288*K29*X170*$E$188</f>
        <v>332953.04099174007</v>
      </c>
      <c r="L170" s="14">
        <v>0</v>
      </c>
      <c r="P170" s="73">
        <v>0.45448808272449176</v>
      </c>
      <c r="Q170" s="73">
        <v>1.0574877305222836</v>
      </c>
      <c r="R170" s="73">
        <v>1.2098313186637846</v>
      </c>
      <c r="S170" s="73">
        <v>0</v>
      </c>
      <c r="T170" s="73"/>
      <c r="U170" s="73"/>
      <c r="V170" s="73">
        <v>0.52832249329369196</v>
      </c>
      <c r="W170" s="73">
        <v>1.1418131378177039</v>
      </c>
      <c r="X170" s="73">
        <v>1.131158112384075</v>
      </c>
      <c r="Y170" s="73">
        <v>0</v>
      </c>
      <c r="AB170" s="14">
        <f t="shared" si="55"/>
        <v>332461.99936273677</v>
      </c>
    </row>
    <row r="171" spans="1:28">
      <c r="B171" s="24" t="s">
        <v>93</v>
      </c>
      <c r="C171" s="14">
        <f t="shared" si="53"/>
        <v>0</v>
      </c>
      <c r="D171" s="14">
        <f t="shared" si="56"/>
        <v>327985.96764382668</v>
      </c>
      <c r="E171" s="14">
        <f t="shared" ref="E171:E187" si="58">R148/R289*E30*R171*$E$188</f>
        <v>381928.03260860703</v>
      </c>
      <c r="F171" s="14">
        <f>S148/S289*F30*S171*$E$188</f>
        <v>37099.581229393123</v>
      </c>
      <c r="H171" s="24"/>
      <c r="I171" s="14">
        <f t="shared" si="54"/>
        <v>25744.899107741363</v>
      </c>
      <c r="J171" s="14">
        <f t="shared" si="57"/>
        <v>418406.05365509802</v>
      </c>
      <c r="K171" s="14">
        <f t="shared" ref="K171:K187" si="59">X148/X289*K30*X171*$E$188</f>
        <v>332953.04326868238</v>
      </c>
      <c r="L171" s="14">
        <f>Y148/Y289*L30*Y171*$E$188</f>
        <v>13909.297818901054</v>
      </c>
      <c r="P171" s="73">
        <v>1</v>
      </c>
      <c r="Q171" s="73">
        <v>0.91385678873276333</v>
      </c>
      <c r="R171" s="73">
        <v>1.3888663250273072</v>
      </c>
      <c r="S171" s="73">
        <v>0.63033206052989488</v>
      </c>
      <c r="T171" s="73"/>
      <c r="U171" s="73"/>
      <c r="V171" s="73">
        <v>0.62391253738490082</v>
      </c>
      <c r="W171" s="73">
        <v>1.0919219792403305</v>
      </c>
      <c r="X171" s="73">
        <v>1.2985505787732177</v>
      </c>
      <c r="Y171" s="73">
        <v>0.47436911919533975</v>
      </c>
      <c r="AB171" s="14">
        <f t="shared" si="55"/>
        <v>0</v>
      </c>
    </row>
    <row r="172" spans="1:28">
      <c r="B172" s="24" t="s">
        <v>94</v>
      </c>
      <c r="C172" s="14">
        <f t="shared" si="53"/>
        <v>638.5319471518028</v>
      </c>
      <c r="D172" s="14">
        <f t="shared" si="56"/>
        <v>247920.02466316734</v>
      </c>
      <c r="E172" s="14">
        <f t="shared" si="58"/>
        <v>226178.03047162481</v>
      </c>
      <c r="F172" s="14">
        <f t="shared" ref="F172:F187" si="60">S149/S290*F31*S172*$E$188</f>
        <v>13946.211755570601</v>
      </c>
      <c r="H172" s="24"/>
      <c r="I172" s="14">
        <f t="shared" si="54"/>
        <v>63604.895313459921</v>
      </c>
      <c r="J172" s="14">
        <f t="shared" si="57"/>
        <v>369448.94322969666</v>
      </c>
      <c r="K172" s="14">
        <f t="shared" si="59"/>
        <v>208465.96512622281</v>
      </c>
      <c r="L172" s="14">
        <f t="shared" ref="L172:L186" si="61">Y149/Y290*L31*Y172*$E$188</f>
        <v>5312.2726875949566</v>
      </c>
      <c r="P172" s="73">
        <v>0.65757977548396174</v>
      </c>
      <c r="Q172" s="73">
        <v>0.91718273038023823</v>
      </c>
      <c r="R172" s="73">
        <v>1.2492509583537936</v>
      </c>
      <c r="S172" s="73">
        <v>0.65243087326657756</v>
      </c>
      <c r="T172" s="73"/>
      <c r="U172" s="73"/>
      <c r="V172" s="73">
        <v>0.69640531076576728</v>
      </c>
      <c r="W172" s="73">
        <v>1.123535994299566</v>
      </c>
      <c r="X172" s="73">
        <v>1.3390044246562758</v>
      </c>
      <c r="Y172" s="73">
        <v>0.37251168846401972</v>
      </c>
      <c r="AB172" s="14">
        <f t="shared" si="55"/>
        <v>6385.3200797453665</v>
      </c>
    </row>
    <row r="173" spans="1:28">
      <c r="B173" s="24" t="s">
        <v>95</v>
      </c>
      <c r="C173" s="14">
        <f t="shared" si="53"/>
        <v>24433.997526254887</v>
      </c>
      <c r="D173" s="14">
        <f t="shared" si="56"/>
        <v>192411.98628014783</v>
      </c>
      <c r="E173" s="14">
        <f t="shared" si="58"/>
        <v>96847.205318557928</v>
      </c>
      <c r="F173" s="14">
        <f t="shared" si="60"/>
        <v>20965.609454994294</v>
      </c>
      <c r="H173" s="24"/>
      <c r="I173" s="14">
        <f t="shared" si="54"/>
        <v>85214.993303660536</v>
      </c>
      <c r="J173" s="14">
        <f t="shared" si="57"/>
        <v>274018.96444982587</v>
      </c>
      <c r="K173" s="14">
        <f t="shared" si="59"/>
        <v>97611.311067605522</v>
      </c>
      <c r="L173" s="14">
        <f t="shared" si="61"/>
        <v>6594.1033579372488</v>
      </c>
      <c r="P173" s="73">
        <v>0.71648534020370036</v>
      </c>
      <c r="Q173" s="73">
        <v>0.90463225489064181</v>
      </c>
      <c r="R173" s="73">
        <v>0.97424389919921062</v>
      </c>
      <c r="S173" s="73">
        <v>1.0217211650721256</v>
      </c>
      <c r="T173" s="73"/>
      <c r="U173" s="73"/>
      <c r="V173" s="73">
        <v>0.76207202970657362</v>
      </c>
      <c r="W173" s="73">
        <v>1.0116414964565132</v>
      </c>
      <c r="X173" s="73">
        <v>1.110611039859084</v>
      </c>
      <c r="Y173" s="73">
        <v>0.53442751505278452</v>
      </c>
      <c r="AB173" s="14">
        <f t="shared" si="55"/>
        <v>244340.0037327614</v>
      </c>
    </row>
    <row r="174" spans="1:28">
      <c r="B174" s="24" t="s">
        <v>96</v>
      </c>
      <c r="C174" s="14">
        <f t="shared" si="53"/>
        <v>49070.098750065583</v>
      </c>
      <c r="D174" s="14">
        <f t="shared" si="56"/>
        <v>253108.9515490121</v>
      </c>
      <c r="E174" s="14">
        <f t="shared" si="58"/>
        <v>111822.98011785273</v>
      </c>
      <c r="F174" s="14">
        <f t="shared" si="60"/>
        <v>18814.797916664298</v>
      </c>
      <c r="H174" s="24"/>
      <c r="I174" s="14">
        <f t="shared" si="54"/>
        <v>146439.99242854776</v>
      </c>
      <c r="J174" s="14">
        <f t="shared" si="57"/>
        <v>346905.95032775594</v>
      </c>
      <c r="K174" s="14">
        <f t="shared" si="59"/>
        <v>112808.99143475849</v>
      </c>
      <c r="L174" s="14">
        <f t="shared" si="61"/>
        <v>5657.3719374234615</v>
      </c>
      <c r="P174" s="73">
        <v>0.8335857136534246</v>
      </c>
      <c r="Q174" s="73">
        <v>1.1428359496455169</v>
      </c>
      <c r="R174" s="73">
        <v>1.1420883028215922</v>
      </c>
      <c r="S174" s="73">
        <v>1.1814013313647487</v>
      </c>
      <c r="T174" s="73"/>
      <c r="U174" s="73"/>
      <c r="V174" s="73">
        <v>0.8815929280818865</v>
      </c>
      <c r="W174" s="73">
        <v>1.3637826183774064</v>
      </c>
      <c r="X174" s="73">
        <v>1.3568761915017085</v>
      </c>
      <c r="Y174" s="73">
        <v>0.5957077830843911</v>
      </c>
      <c r="AB174" s="14">
        <f t="shared" si="55"/>
        <v>490701.00188609038</v>
      </c>
    </row>
    <row r="175" spans="1:28">
      <c r="B175" s="24" t="s">
        <v>97</v>
      </c>
      <c r="C175" s="14">
        <f t="shared" si="53"/>
        <v>68586.597513521046</v>
      </c>
      <c r="D175" s="14">
        <f t="shared" si="56"/>
        <v>232864.93371783762</v>
      </c>
      <c r="E175" s="14">
        <f t="shared" si="58"/>
        <v>98412.488148266872</v>
      </c>
      <c r="F175" s="14">
        <f t="shared" si="60"/>
        <v>15647.111789795592</v>
      </c>
      <c r="H175" s="24"/>
      <c r="I175" s="14">
        <f t="shared" si="54"/>
        <v>159910.0060819847</v>
      </c>
      <c r="J175" s="14">
        <f t="shared" si="57"/>
        <v>297973.87552166037</v>
      </c>
      <c r="K175" s="14">
        <f t="shared" si="59"/>
        <v>96822.504478854564</v>
      </c>
      <c r="L175" s="14">
        <f t="shared" si="61"/>
        <v>4461.8049466898838</v>
      </c>
      <c r="P175" s="73">
        <v>0.96992056779607494</v>
      </c>
      <c r="Q175" s="73">
        <v>1.280629784376085</v>
      </c>
      <c r="R175" s="73">
        <v>1.2708480581875663</v>
      </c>
      <c r="S175" s="73">
        <v>1.3270724421474123</v>
      </c>
      <c r="T175" s="73"/>
      <c r="U175" s="73"/>
      <c r="V175" s="73">
        <v>1.0070285245277251</v>
      </c>
      <c r="W175" s="73">
        <v>1.5331169557117987</v>
      </c>
      <c r="X175" s="73">
        <v>1.500731846942444</v>
      </c>
      <c r="Y175" s="73">
        <v>0.62505106827670842</v>
      </c>
      <c r="AB175" s="14">
        <f t="shared" si="55"/>
        <v>685866.00375197618</v>
      </c>
    </row>
    <row r="176" spans="1:28">
      <c r="B176" s="24" t="s">
        <v>98</v>
      </c>
      <c r="C176" s="14">
        <f t="shared" si="53"/>
        <v>74748.494491413221</v>
      </c>
      <c r="D176" s="14">
        <f t="shared" si="56"/>
        <v>182520.98048382706</v>
      </c>
      <c r="E176" s="14">
        <f t="shared" si="58"/>
        <v>76769.008250696017</v>
      </c>
      <c r="F176" s="14">
        <f t="shared" si="60"/>
        <v>10606.008031869502</v>
      </c>
      <c r="H176" s="24"/>
      <c r="I176" s="14">
        <f t="shared" si="54"/>
        <v>173502.0013501299</v>
      </c>
      <c r="J176" s="14">
        <f t="shared" si="57"/>
        <v>241813.08582490351</v>
      </c>
      <c r="K176" s="14">
        <f t="shared" si="59"/>
        <v>77613.306490892151</v>
      </c>
      <c r="L176" s="14">
        <f t="shared" si="61"/>
        <v>3235.4302705828404</v>
      </c>
      <c r="P176" s="73">
        <v>1.1453376422228019</v>
      </c>
      <c r="Q176" s="73">
        <v>1.3593048996764561</v>
      </c>
      <c r="R176" s="73">
        <v>1.3841182531723351</v>
      </c>
      <c r="S176" s="73">
        <v>1.3921058290196504</v>
      </c>
      <c r="T176" s="73"/>
      <c r="U176" s="73"/>
      <c r="V176" s="73">
        <v>1.1744350024760295</v>
      </c>
      <c r="W176" s="73">
        <v>1.6904589833787922</v>
      </c>
      <c r="X176" s="73">
        <v>1.5936254300591359</v>
      </c>
      <c r="Y176" s="73">
        <v>0.59402905475315237</v>
      </c>
      <c r="AB176" s="14">
        <f t="shared" si="55"/>
        <v>747485.00831219042</v>
      </c>
    </row>
    <row r="177" spans="1:28">
      <c r="B177" s="24" t="s">
        <v>99</v>
      </c>
      <c r="C177" s="14">
        <f t="shared" si="53"/>
        <v>67870.504000008426</v>
      </c>
      <c r="D177" s="14">
        <f t="shared" si="56"/>
        <v>141071.00524364464</v>
      </c>
      <c r="E177" s="14">
        <f t="shared" si="58"/>
        <v>54188.816067757136</v>
      </c>
      <c r="F177" s="14">
        <f t="shared" si="60"/>
        <v>6846.7954857566638</v>
      </c>
      <c r="H177" s="24"/>
      <c r="I177" s="14">
        <f t="shared" si="54"/>
        <v>162750.98926337506</v>
      </c>
      <c r="J177" s="14">
        <f t="shared" si="57"/>
        <v>171680.88623117295</v>
      </c>
      <c r="K177" s="14">
        <f t="shared" si="59"/>
        <v>59316.163161578326</v>
      </c>
      <c r="L177" s="14">
        <f t="shared" si="61"/>
        <v>2372.642451214123</v>
      </c>
      <c r="P177" s="73">
        <v>1.279959310686843</v>
      </c>
      <c r="Q177" s="73">
        <v>1.491171990649014</v>
      </c>
      <c r="R177" s="73">
        <v>1.4946792103454334</v>
      </c>
      <c r="S177" s="73">
        <v>1.4244790885311485</v>
      </c>
      <c r="T177" s="73"/>
      <c r="U177" s="73"/>
      <c r="V177" s="73">
        <v>1.3046781945079036</v>
      </c>
      <c r="W177" s="73">
        <v>1.9458975846292215</v>
      </c>
      <c r="X177" s="73">
        <v>1.8364548405373196</v>
      </c>
      <c r="Y177" s="73">
        <v>0.63344365149582604</v>
      </c>
      <c r="AB177" s="14">
        <f t="shared" si="55"/>
        <v>678704.99396418117</v>
      </c>
    </row>
    <row r="178" spans="1:28">
      <c r="B178" s="24" t="s">
        <v>100</v>
      </c>
      <c r="C178" s="14">
        <f t="shared" si="53"/>
        <v>64869.800898330766</v>
      </c>
      <c r="D178" s="14">
        <f t="shared" si="56"/>
        <v>111606.96752992761</v>
      </c>
      <c r="E178" s="14">
        <f t="shared" si="58"/>
        <v>35873.216559355344</v>
      </c>
      <c r="F178" s="14">
        <f t="shared" si="60"/>
        <v>4079.717817313212</v>
      </c>
      <c r="H178" s="24"/>
      <c r="I178" s="14">
        <f t="shared" si="54"/>
        <v>160861.00382530291</v>
      </c>
      <c r="J178" s="14">
        <f t="shared" si="57"/>
        <v>117565.98341855472</v>
      </c>
      <c r="K178" s="14">
        <f t="shared" si="59"/>
        <v>41006.680111413923</v>
      </c>
      <c r="L178" s="14">
        <f t="shared" si="61"/>
        <v>1589.9748296728962</v>
      </c>
      <c r="P178" s="73">
        <v>1.4862078797570939</v>
      </c>
      <c r="Q178" s="73">
        <v>1.6422739992665518</v>
      </c>
      <c r="R178" s="73">
        <v>1.5878053885113925</v>
      </c>
      <c r="S178" s="73">
        <v>1.4215961477450723</v>
      </c>
      <c r="T178" s="73"/>
      <c r="U178" s="73"/>
      <c r="V178" s="73">
        <v>1.5351638568193944</v>
      </c>
      <c r="W178" s="73">
        <v>2.2195766842510953</v>
      </c>
      <c r="X178" s="73">
        <v>2.0688357310782295</v>
      </c>
      <c r="Y178" s="73">
        <v>0.65184676763119032</v>
      </c>
      <c r="AB178" s="14">
        <f t="shared" si="55"/>
        <v>648697.99864446244</v>
      </c>
    </row>
    <row r="179" spans="1:28">
      <c r="B179" s="24" t="s">
        <v>101</v>
      </c>
      <c r="C179" s="14">
        <f t="shared" si="53"/>
        <v>58608.010163281069</v>
      </c>
      <c r="D179" s="14">
        <f t="shared" si="56"/>
        <v>86296.604679914948</v>
      </c>
      <c r="E179" s="14">
        <f t="shared" si="58"/>
        <v>26111.418956890237</v>
      </c>
      <c r="F179" s="14">
        <f t="shared" si="60"/>
        <v>2717.7668854211374</v>
      </c>
      <c r="H179" s="24"/>
      <c r="I179" s="14">
        <f t="shared" si="54"/>
        <v>160763.988637976</v>
      </c>
      <c r="J179" s="14">
        <f t="shared" si="57"/>
        <v>82672.823879234289</v>
      </c>
      <c r="K179" s="14">
        <f t="shared" si="59"/>
        <v>30881.371166000168</v>
      </c>
      <c r="L179" s="14">
        <f t="shared" si="61"/>
        <v>1170.9139928167965</v>
      </c>
      <c r="P179" s="73">
        <v>1.8699180177678845</v>
      </c>
      <c r="Q179" s="73">
        <v>2.0282964406955162</v>
      </c>
      <c r="R179" s="73">
        <v>1.949260255446426</v>
      </c>
      <c r="S179" s="73">
        <v>1.6362370093796998</v>
      </c>
      <c r="T179" s="73"/>
      <c r="U179" s="73"/>
      <c r="V179" s="73">
        <v>2.0134260469141925</v>
      </c>
      <c r="W179" s="73">
        <v>2.856044794931528</v>
      </c>
      <c r="X179" s="73">
        <v>2.564658120958005</v>
      </c>
      <c r="Y179" s="73">
        <v>0.73078897955602351</v>
      </c>
      <c r="AB179" s="14">
        <f t="shared" si="55"/>
        <v>586079.98466410174</v>
      </c>
    </row>
    <row r="180" spans="1:28">
      <c r="B180" s="24" t="s">
        <v>102</v>
      </c>
      <c r="C180" s="14">
        <f t="shared" si="53"/>
        <v>51649.936485927792</v>
      </c>
      <c r="D180" s="14">
        <f t="shared" si="56"/>
        <v>62052.42746008528</v>
      </c>
      <c r="E180" s="14">
        <f t="shared" si="58"/>
        <v>17958.196756620167</v>
      </c>
      <c r="F180" s="14">
        <f t="shared" si="60"/>
        <v>1737.8863771663482</v>
      </c>
      <c r="H180" s="24"/>
      <c r="I180" s="14">
        <f t="shared" si="54"/>
        <v>144719.06195991239</v>
      </c>
      <c r="J180" s="14">
        <f t="shared" si="57"/>
        <v>51692.809882178073</v>
      </c>
      <c r="K180" s="14">
        <f t="shared" si="59"/>
        <v>21255.24306590408</v>
      </c>
      <c r="L180" s="14">
        <f t="shared" si="61"/>
        <v>745.69264297972245</v>
      </c>
      <c r="P180" s="73">
        <v>2.618593824583523</v>
      </c>
      <c r="Q180" s="73">
        <v>2.8508616463649266</v>
      </c>
      <c r="R180" s="73">
        <v>2.7475506205654345</v>
      </c>
      <c r="S180" s="73">
        <v>2.1271958035633536</v>
      </c>
      <c r="T180" s="73"/>
      <c r="U180" s="73"/>
      <c r="V180" s="73">
        <v>2.9620199546698389</v>
      </c>
      <c r="W180" s="73">
        <v>4.2773353424419707</v>
      </c>
      <c r="X180" s="73">
        <v>3.7445690862291712</v>
      </c>
      <c r="Y180" s="73">
        <v>0.96947277680461097</v>
      </c>
      <c r="AB180" s="14">
        <f t="shared" si="55"/>
        <v>516498.94494450418</v>
      </c>
    </row>
    <row r="181" spans="1:28">
      <c r="B181" s="24" t="s">
        <v>103</v>
      </c>
      <c r="C181" s="14">
        <f t="shared" si="53"/>
        <v>42691.827373897067</v>
      </c>
      <c r="D181" s="14">
        <f t="shared" si="56"/>
        <v>36914.790885055263</v>
      </c>
      <c r="E181" s="14">
        <f t="shared" si="58"/>
        <v>10975.751606056416</v>
      </c>
      <c r="F181" s="14">
        <f t="shared" si="60"/>
        <v>942.89578869277273</v>
      </c>
      <c r="H181" s="24"/>
      <c r="I181" s="14">
        <f t="shared" si="54"/>
        <v>114295.99047306296</v>
      </c>
      <c r="J181" s="14">
        <f t="shared" si="57"/>
        <v>29008.069245564246</v>
      </c>
      <c r="K181" s="14">
        <f t="shared" si="59"/>
        <v>13576.517717864475</v>
      </c>
      <c r="L181" s="14">
        <f t="shared" si="61"/>
        <v>425.21907824924745</v>
      </c>
      <c r="P181" s="73">
        <v>3.9192567480567635</v>
      </c>
      <c r="Q181" s="73">
        <v>4.1798426391699817</v>
      </c>
      <c r="R181" s="73">
        <v>4.243767796908088</v>
      </c>
      <c r="S181" s="73">
        <v>2.9956491661260962</v>
      </c>
      <c r="T181" s="73"/>
      <c r="U181" s="73"/>
      <c r="V181" s="73">
        <v>4.6796174236396686</v>
      </c>
      <c r="W181" s="73">
        <v>6.6215535495116393</v>
      </c>
      <c r="X181" s="73">
        <v>5.8122280765680427</v>
      </c>
      <c r="Y181" s="73">
        <v>1.2869580479036096</v>
      </c>
      <c r="AB181" s="14">
        <f t="shared" si="55"/>
        <v>426919.10958926764</v>
      </c>
    </row>
    <row r="182" spans="1:28">
      <c r="B182" s="24" t="s">
        <v>104</v>
      </c>
      <c r="C182" s="14">
        <f t="shared" si="53"/>
        <v>30282.716377378703</v>
      </c>
      <c r="D182" s="14">
        <f t="shared" si="56"/>
        <v>19788.314360195436</v>
      </c>
      <c r="E182" s="14">
        <f t="shared" si="58"/>
        <v>6113.3853885686322</v>
      </c>
      <c r="F182" s="14">
        <f t="shared" si="60"/>
        <v>480.68252536548476</v>
      </c>
      <c r="H182" s="24"/>
      <c r="I182" s="14">
        <f t="shared" si="54"/>
        <v>80700.233408063155</v>
      </c>
      <c r="J182" s="14">
        <f t="shared" si="57"/>
        <v>15856.650820646388</v>
      </c>
      <c r="K182" s="14">
        <f t="shared" si="59"/>
        <v>8005.3306672607414</v>
      </c>
      <c r="L182" s="14">
        <f t="shared" si="61"/>
        <v>215.67983685234307</v>
      </c>
      <c r="P182" s="73">
        <v>6.3249123699561522</v>
      </c>
      <c r="Q182" s="73">
        <v>6.1923829731312452</v>
      </c>
      <c r="R182" s="73">
        <v>6.2930567450599222</v>
      </c>
      <c r="S182" s="73">
        <v>4.0063690641036072</v>
      </c>
      <c r="T182" s="73"/>
      <c r="U182" s="73"/>
      <c r="V182" s="73">
        <v>7.9849964501499642</v>
      </c>
      <c r="W182" s="73">
        <v>10.52863405821345</v>
      </c>
      <c r="X182" s="73">
        <v>8.8633397001903766</v>
      </c>
      <c r="Y182" s="73">
        <v>1.7672633403725531</v>
      </c>
      <c r="AB182" s="14">
        <f t="shared" si="55"/>
        <v>302828.1261824806</v>
      </c>
    </row>
    <row r="183" spans="1:28">
      <c r="B183" s="24" t="s">
        <v>105</v>
      </c>
      <c r="C183" s="14">
        <f t="shared" si="53"/>
        <v>16000.271143638878</v>
      </c>
      <c r="D183" s="14">
        <f t="shared" si="56"/>
        <v>8079.295879161522</v>
      </c>
      <c r="E183" s="14">
        <f t="shared" si="58"/>
        <v>2637.6655796313512</v>
      </c>
      <c r="F183" s="14">
        <f t="shared" si="60"/>
        <v>184.90702201071812</v>
      </c>
      <c r="H183" s="24"/>
      <c r="I183" s="14">
        <f t="shared" si="54"/>
        <v>40083.93429243828</v>
      </c>
      <c r="J183" s="14">
        <f t="shared" si="57"/>
        <v>7407.6129309030594</v>
      </c>
      <c r="K183" s="14">
        <f t="shared" si="59"/>
        <v>3617.4736919170382</v>
      </c>
      <c r="L183" s="14">
        <f t="shared" si="61"/>
        <v>92.427782229678556</v>
      </c>
      <c r="P183" s="73">
        <v>8.948639248230414</v>
      </c>
      <c r="Q183" s="73">
        <v>7.4957581283038559</v>
      </c>
      <c r="R183" s="73">
        <v>7.041702946556204</v>
      </c>
      <c r="S183" s="73">
        <v>4.0372207961881337</v>
      </c>
      <c r="T183" s="73"/>
      <c r="U183" s="73"/>
      <c r="V183" s="73">
        <v>12.246549231510627</v>
      </c>
      <c r="W183" s="73">
        <v>14.074973256562748</v>
      </c>
      <c r="X183" s="73">
        <v>11.135542860711606</v>
      </c>
      <c r="Y183" s="73">
        <v>2.0437136866523913</v>
      </c>
      <c r="AB183" s="14">
        <f t="shared" si="55"/>
        <v>160001.89264769873</v>
      </c>
    </row>
    <row r="184" spans="1:28">
      <c r="B184" s="24" t="s">
        <v>106</v>
      </c>
      <c r="C184" s="14">
        <f t="shared" si="53"/>
        <v>6306.1219782003318</v>
      </c>
      <c r="D184" s="14">
        <f t="shared" si="56"/>
        <v>2637.5057058938451</v>
      </c>
      <c r="E184" s="14">
        <f t="shared" si="58"/>
        <v>727.13921337784973</v>
      </c>
      <c r="F184" s="14">
        <f t="shared" si="60"/>
        <v>49.328903620831404</v>
      </c>
      <c r="H184" s="24"/>
      <c r="I184" s="14">
        <f t="shared" si="54"/>
        <v>17403.366738307537</v>
      </c>
      <c r="J184" s="14">
        <f t="shared" si="57"/>
        <v>2847.1780804789414</v>
      </c>
      <c r="K184" s="14">
        <f t="shared" si="59"/>
        <v>1176.9354262519325</v>
      </c>
      <c r="L184" s="14">
        <f t="shared" si="61"/>
        <v>24.643666422382058</v>
      </c>
      <c r="P184" s="73">
        <v>10.991702741702742</v>
      </c>
      <c r="Q184" s="73">
        <v>9.3373402459609363</v>
      </c>
      <c r="R184" s="73">
        <v>8.8612442210484481</v>
      </c>
      <c r="S184" s="73">
        <v>4.4124853734734453</v>
      </c>
      <c r="T184" s="73"/>
      <c r="U184" s="73"/>
      <c r="V184" s="73">
        <v>17.508393635158175</v>
      </c>
      <c r="W184" s="73">
        <v>21.07136762544615</v>
      </c>
      <c r="X184" s="73">
        <v>15.644396716555683</v>
      </c>
      <c r="Y184" s="73">
        <v>2.4632426640290142</v>
      </c>
      <c r="AB184" s="14">
        <f t="shared" si="55"/>
        <v>63059.240493234967</v>
      </c>
    </row>
    <row r="185" spans="1:28">
      <c r="B185" s="24" t="s">
        <v>107</v>
      </c>
      <c r="C185" s="14">
        <f t="shared" si="53"/>
        <v>1689.2932913483542</v>
      </c>
      <c r="D185" s="14">
        <f t="shared" si="56"/>
        <v>603.74161958693469</v>
      </c>
      <c r="E185" s="14">
        <f t="shared" si="58"/>
        <v>129.44565079833214</v>
      </c>
      <c r="F185" s="14">
        <f t="shared" si="60"/>
        <v>6.1700170336813835</v>
      </c>
      <c r="H185" s="24"/>
      <c r="I185" s="14">
        <f t="shared" si="54"/>
        <v>5439.9177463688657</v>
      </c>
      <c r="J185" s="14">
        <f t="shared" si="57"/>
        <v>733.35875680239087</v>
      </c>
      <c r="K185" s="14">
        <f t="shared" si="59"/>
        <v>246.53929299857887</v>
      </c>
      <c r="L185" s="14">
        <f t="shared" si="61"/>
        <v>6.1634773243500307</v>
      </c>
      <c r="P185" s="73">
        <v>8.8164775472798471</v>
      </c>
      <c r="Q185" s="73">
        <v>7.6419132216678554</v>
      </c>
      <c r="R185" s="73">
        <v>7.221335362014691</v>
      </c>
      <c r="S185" s="73">
        <v>3.2000694648478492</v>
      </c>
      <c r="T185" s="73"/>
      <c r="U185" s="73"/>
      <c r="V185" s="73">
        <v>16.795106740393365</v>
      </c>
      <c r="W185" s="73">
        <v>20.817900181018874</v>
      </c>
      <c r="X185" s="73">
        <v>13.862061388550545</v>
      </c>
      <c r="Y185" s="73">
        <v>1.9280606577344701</v>
      </c>
      <c r="AB185" s="14">
        <f t="shared" si="55"/>
        <v>16890.363064182791</v>
      </c>
    </row>
    <row r="186" spans="1:28">
      <c r="B186" s="24" t="s">
        <v>108</v>
      </c>
      <c r="C186" s="14">
        <f t="shared" si="53"/>
        <v>360.24922389952036</v>
      </c>
      <c r="D186" s="14">
        <f t="shared" si="56"/>
        <v>104.70272304593436</v>
      </c>
      <c r="E186" s="14">
        <f t="shared" si="58"/>
        <v>0</v>
      </c>
      <c r="F186" s="14">
        <f t="shared" si="60"/>
        <v>0</v>
      </c>
      <c r="H186" s="24"/>
      <c r="I186" s="14">
        <f t="shared" si="54"/>
        <v>1422.9913222924908</v>
      </c>
      <c r="J186" s="14">
        <f t="shared" si="57"/>
        <v>111.02151436458757</v>
      </c>
      <c r="K186" s="14">
        <f t="shared" si="59"/>
        <v>24.697873595022294</v>
      </c>
      <c r="L186" s="14">
        <f t="shared" si="61"/>
        <v>0</v>
      </c>
      <c r="P186" s="73">
        <v>5.8347571428571436</v>
      </c>
      <c r="Q186" s="73">
        <v>4.7664647335423203</v>
      </c>
      <c r="R186" s="73">
        <v>1</v>
      </c>
      <c r="S186" s="73">
        <v>1</v>
      </c>
      <c r="T186" s="73"/>
      <c r="U186" s="73"/>
      <c r="V186" s="73">
        <v>13.597992610837437</v>
      </c>
      <c r="W186" s="73">
        <v>15.246417045454542</v>
      </c>
      <c r="X186" s="73">
        <v>7.8359589935760177</v>
      </c>
      <c r="Y186" s="73">
        <v>1</v>
      </c>
      <c r="AB186" s="14">
        <f t="shared" si="55"/>
        <v>3603.4679230248084</v>
      </c>
    </row>
    <row r="187" spans="1:28">
      <c r="B187" s="24" t="s">
        <v>109</v>
      </c>
      <c r="C187" s="14">
        <f t="shared" si="53"/>
        <v>14.212974169351982</v>
      </c>
      <c r="D187" s="14">
        <f t="shared" si="56"/>
        <v>18.592578795721025</v>
      </c>
      <c r="E187" s="14">
        <f t="shared" si="58"/>
        <v>0</v>
      </c>
      <c r="F187" s="14">
        <f t="shared" si="60"/>
        <v>0</v>
      </c>
      <c r="H187" s="24"/>
      <c r="I187" s="14">
        <f t="shared" si="54"/>
        <v>91.475043210137059</v>
      </c>
      <c r="J187" s="14">
        <f t="shared" si="57"/>
        <v>6.1592453558991176</v>
      </c>
      <c r="K187" s="14">
        <f t="shared" si="59"/>
        <v>0</v>
      </c>
      <c r="L187" s="14">
        <v>0</v>
      </c>
      <c r="P187" s="73">
        <v>2.8897801801801801</v>
      </c>
      <c r="Q187" s="73">
        <v>2.4469538461538463</v>
      </c>
      <c r="R187" s="73">
        <v>1</v>
      </c>
      <c r="S187" s="73">
        <v>1</v>
      </c>
      <c r="T187" s="73"/>
      <c r="U187" s="73"/>
      <c r="V187" s="73">
        <v>6.5525506807866858</v>
      </c>
      <c r="W187" s="73">
        <v>6.8262972067039094</v>
      </c>
      <c r="X187" s="73">
        <v>1</v>
      </c>
      <c r="Y187" s="73">
        <v>1</v>
      </c>
      <c r="AB187" s="14">
        <f t="shared" si="55"/>
        <v>142.11622823538363</v>
      </c>
    </row>
    <row r="188" spans="1:28">
      <c r="C188" s="79">
        <v>0.21800000700414529</v>
      </c>
      <c r="D188" s="80">
        <v>0.1</v>
      </c>
      <c r="E188" s="81">
        <f>D188/C188</f>
        <v>0.45871558159215331</v>
      </c>
      <c r="F188" s="80">
        <f>(1-D188)/(1-C188)</f>
        <v>1.1508951509731928</v>
      </c>
      <c r="M188" s="14">
        <f>SUM(C167:L187,C144:L164)</f>
        <v>143268125.30859992</v>
      </c>
      <c r="P188" s="73"/>
      <c r="Q188" s="73"/>
      <c r="R188" s="73"/>
      <c r="S188" s="73"/>
      <c r="T188" s="73"/>
      <c r="U188" s="73"/>
      <c r="V188" s="73"/>
      <c r="W188" s="73"/>
      <c r="X188" s="73"/>
      <c r="Y188" s="73"/>
    </row>
    <row r="189" spans="1:28" ht="18">
      <c r="A189" s="82" t="s">
        <v>416</v>
      </c>
      <c r="B189" s="82"/>
      <c r="C189" s="82"/>
      <c r="D189" s="82"/>
      <c r="E189" s="82"/>
      <c r="F189" s="82"/>
      <c r="G189" s="82"/>
      <c r="H189" s="82"/>
      <c r="I189" s="82"/>
      <c r="J189" s="82"/>
      <c r="K189" s="82"/>
      <c r="L189" s="82"/>
      <c r="P189" s="73"/>
      <c r="Q189" s="73"/>
      <c r="R189" s="73"/>
      <c r="S189" s="73"/>
      <c r="T189" s="73"/>
      <c r="U189" s="73"/>
      <c r="V189" s="73"/>
      <c r="W189" s="73"/>
      <c r="X189" s="73"/>
      <c r="Y189" s="73"/>
    </row>
    <row r="190" spans="1:28" ht="18">
      <c r="A190" s="25" t="s">
        <v>120</v>
      </c>
      <c r="B190" s="26" t="s">
        <v>110</v>
      </c>
      <c r="C190" s="13" t="s">
        <v>121</v>
      </c>
      <c r="D190" s="27" t="s">
        <v>122</v>
      </c>
      <c r="E190" s="27" t="s">
        <v>113</v>
      </c>
      <c r="F190" s="27" t="s">
        <v>123</v>
      </c>
      <c r="G190" s="27"/>
      <c r="H190" s="26" t="s">
        <v>111</v>
      </c>
      <c r="I190" s="13" t="s">
        <v>121</v>
      </c>
      <c r="J190" s="27" t="s">
        <v>122</v>
      </c>
      <c r="K190" s="27" t="s">
        <v>113</v>
      </c>
      <c r="L190" s="27" t="s">
        <v>123</v>
      </c>
      <c r="O190" t="s">
        <v>110</v>
      </c>
      <c r="P190" s="73" t="s">
        <v>121</v>
      </c>
      <c r="Q190" s="73" t="s">
        <v>122</v>
      </c>
      <c r="R190" s="73" t="s">
        <v>113</v>
      </c>
      <c r="S190" s="73" t="s">
        <v>123</v>
      </c>
      <c r="T190" s="73"/>
      <c r="U190" s="73" t="s">
        <v>111</v>
      </c>
      <c r="V190" s="73" t="s">
        <v>121</v>
      </c>
      <c r="W190" s="73" t="s">
        <v>122</v>
      </c>
      <c r="X190" s="73" t="s">
        <v>113</v>
      </c>
      <c r="Y190" s="73" t="s">
        <v>123</v>
      </c>
    </row>
    <row r="191" spans="1:28">
      <c r="B191" t="s">
        <v>124</v>
      </c>
      <c r="C191" s="14">
        <f>P191/P285*C3*P214</f>
        <v>3310808.1399999997</v>
      </c>
      <c r="D191" s="14">
        <v>0</v>
      </c>
      <c r="E191" s="14">
        <v>0</v>
      </c>
      <c r="F191" s="14">
        <v>0</v>
      </c>
      <c r="I191" s="14">
        <f>V191/V285*I3*V214</f>
        <v>3233530.9</v>
      </c>
      <c r="J191" s="14">
        <v>0</v>
      </c>
      <c r="K191" s="14">
        <v>0</v>
      </c>
      <c r="L191" s="14">
        <v>0</v>
      </c>
      <c r="P191" s="14">
        <v>4233770</v>
      </c>
      <c r="Q191" s="14">
        <v>0</v>
      </c>
      <c r="R191" s="14">
        <v>0</v>
      </c>
      <c r="S191" s="14">
        <v>0</v>
      </c>
      <c r="T191" s="14"/>
      <c r="U191" s="14"/>
      <c r="V191" s="14">
        <v>4134950</v>
      </c>
      <c r="W191" s="14">
        <v>0</v>
      </c>
      <c r="X191" s="14">
        <v>0</v>
      </c>
      <c r="Y191" s="14">
        <v>0</v>
      </c>
    </row>
    <row r="192" spans="1:28">
      <c r="B192" s="24" t="s">
        <v>125</v>
      </c>
      <c r="C192" s="14">
        <f t="shared" ref="C192:C210" si="62">P192/P286*C4*P215</f>
        <v>2626964.79350506</v>
      </c>
      <c r="D192" s="14">
        <v>0</v>
      </c>
      <c r="E192" s="14">
        <v>0</v>
      </c>
      <c r="F192" s="14">
        <v>0</v>
      </c>
      <c r="H192" s="24"/>
      <c r="I192" s="14">
        <f t="shared" ref="I192:I210" si="63">V192/V286*I4*V215</f>
        <v>2542586.9863532628</v>
      </c>
      <c r="J192" s="14">
        <v>0</v>
      </c>
      <c r="K192" s="14">
        <v>0</v>
      </c>
      <c r="L192" s="14">
        <v>0</v>
      </c>
      <c r="P192" s="14">
        <v>3359290</v>
      </c>
      <c r="Q192" s="14">
        <v>0</v>
      </c>
      <c r="R192" s="14">
        <v>0</v>
      </c>
      <c r="S192" s="14">
        <v>0</v>
      </c>
      <c r="T192" s="14"/>
      <c r="U192" s="14"/>
      <c r="V192" s="14">
        <v>3251390</v>
      </c>
      <c r="W192" s="14">
        <v>0</v>
      </c>
      <c r="X192" s="14">
        <v>0</v>
      </c>
      <c r="Y192" s="14">
        <v>0</v>
      </c>
    </row>
    <row r="193" spans="2:25">
      <c r="B193" s="24" t="s">
        <v>91</v>
      </c>
      <c r="C193" s="14">
        <f t="shared" si="62"/>
        <v>1969553.0318348107</v>
      </c>
      <c r="D193" s="14">
        <f t="shared" ref="D193:F206" si="64">Q193/Q287*D5*Q216</f>
        <v>295425.52235922538</v>
      </c>
      <c r="E193" s="14">
        <v>0</v>
      </c>
      <c r="F193" s="14">
        <v>0</v>
      </c>
      <c r="H193" s="24"/>
      <c r="I193" s="14">
        <f t="shared" si="63"/>
        <v>1883650.3286577</v>
      </c>
      <c r="J193" s="14">
        <f t="shared" ref="J193:J211" si="65">W193/W287*J5*W216</f>
        <v>317109.61520451581</v>
      </c>
      <c r="K193" s="14">
        <v>0</v>
      </c>
      <c r="L193" s="14">
        <v>0</v>
      </c>
      <c r="P193" s="14">
        <v>2518610</v>
      </c>
      <c r="Q193" s="14">
        <v>377782</v>
      </c>
      <c r="R193" s="14">
        <v>0</v>
      </c>
      <c r="S193" s="14">
        <v>0</v>
      </c>
      <c r="T193" s="14"/>
      <c r="U193" s="14"/>
      <c r="V193" s="14">
        <v>2408760</v>
      </c>
      <c r="W193" s="14">
        <v>405511</v>
      </c>
      <c r="X193" s="14">
        <v>0</v>
      </c>
      <c r="Y193" s="14">
        <v>0</v>
      </c>
    </row>
    <row r="194" spans="2:25">
      <c r="B194" s="24" t="s">
        <v>92</v>
      </c>
      <c r="C194" s="14">
        <f t="shared" si="62"/>
        <v>1055136.9468129885</v>
      </c>
      <c r="D194" s="14">
        <f t="shared" si="64"/>
        <v>606625.54804862454</v>
      </c>
      <c r="E194" s="14">
        <f t="shared" si="64"/>
        <v>317639.79390661133</v>
      </c>
      <c r="F194" s="14">
        <v>0</v>
      </c>
      <c r="H194" s="24"/>
      <c r="I194" s="14">
        <f t="shared" si="63"/>
        <v>1151135.285812255</v>
      </c>
      <c r="J194" s="14">
        <f t="shared" si="65"/>
        <v>571256.46276886051</v>
      </c>
      <c r="K194" s="14">
        <f t="shared" ref="K194:K211" si="66">X194/X288*K6*X217</f>
        <v>291687.5513763561</v>
      </c>
      <c r="L194" s="14">
        <v>0</v>
      </c>
      <c r="P194" s="14">
        <v>1349280</v>
      </c>
      <c r="Q194" s="14">
        <v>775736</v>
      </c>
      <c r="R194" s="14">
        <v>406189</v>
      </c>
      <c r="S194" s="14">
        <v>0</v>
      </c>
      <c r="T194" s="14"/>
      <c r="U194" s="14"/>
      <c r="V194" s="14">
        <v>1472040</v>
      </c>
      <c r="W194" s="14">
        <v>730507</v>
      </c>
      <c r="X194" s="14">
        <v>373002</v>
      </c>
      <c r="Y194" s="14">
        <v>0</v>
      </c>
    </row>
    <row r="195" spans="2:25">
      <c r="B195" s="24" t="s">
        <v>93</v>
      </c>
      <c r="C195" s="14">
        <f t="shared" si="62"/>
        <v>1054667.7697335961</v>
      </c>
      <c r="D195" s="14">
        <f t="shared" si="64"/>
        <v>384919.17513812962</v>
      </c>
      <c r="E195" s="14">
        <f t="shared" si="64"/>
        <v>317639.78759475617</v>
      </c>
      <c r="F195" s="14">
        <f t="shared" si="64"/>
        <v>6286.1469303286449</v>
      </c>
      <c r="H195" s="24"/>
      <c r="I195" s="14">
        <f t="shared" si="63"/>
        <v>1114858.3007858614</v>
      </c>
      <c r="J195" s="14">
        <f t="shared" si="65"/>
        <v>406277.13383712771</v>
      </c>
      <c r="K195" s="14">
        <f t="shared" si="66"/>
        <v>291687.55082027684</v>
      </c>
      <c r="L195" s="14">
        <f t="shared" ref="L195:L210" si="67">Y195/Y289*L7*Y218</f>
        <v>2499.3111868691112</v>
      </c>
      <c r="P195" s="14">
        <v>1348680</v>
      </c>
      <c r="Q195" s="14">
        <v>492224</v>
      </c>
      <c r="R195" s="14">
        <v>406189</v>
      </c>
      <c r="S195" s="14">
        <v>8038.55</v>
      </c>
      <c r="T195" s="14"/>
      <c r="U195" s="14"/>
      <c r="V195" s="14">
        <v>1425650</v>
      </c>
      <c r="W195" s="14">
        <v>519536</v>
      </c>
      <c r="X195" s="14">
        <v>373002</v>
      </c>
      <c r="Y195" s="14">
        <v>3196.05</v>
      </c>
    </row>
    <row r="196" spans="2:25">
      <c r="B196" s="24" t="s">
        <v>94</v>
      </c>
      <c r="C196" s="14">
        <f t="shared" si="62"/>
        <v>956339.0934996166</v>
      </c>
      <c r="D196" s="14">
        <f t="shared" si="64"/>
        <v>314988.80644334969</v>
      </c>
      <c r="E196" s="14">
        <f t="shared" si="64"/>
        <v>233470.78114032481</v>
      </c>
      <c r="F196" s="14">
        <f t="shared" si="64"/>
        <v>3382.9077147722023</v>
      </c>
      <c r="H196" s="24"/>
      <c r="I196" s="14">
        <f t="shared" si="63"/>
        <v>965863.85118838935</v>
      </c>
      <c r="J196" s="14">
        <f t="shared" si="65"/>
        <v>335412.32336378202</v>
      </c>
      <c r="K196" s="14">
        <f t="shared" si="66"/>
        <v>216732.87216615982</v>
      </c>
      <c r="L196" s="14">
        <f t="shared" si="67"/>
        <v>1161.2932858131487</v>
      </c>
      <c r="P196" s="14">
        <v>1222940</v>
      </c>
      <c r="Q196" s="14">
        <v>402799</v>
      </c>
      <c r="R196" s="14">
        <v>298556</v>
      </c>
      <c r="S196" s="14">
        <v>4325.97</v>
      </c>
      <c r="T196" s="14"/>
      <c r="U196" s="14"/>
      <c r="V196" s="14">
        <v>1235120</v>
      </c>
      <c r="W196" s="14">
        <v>428916</v>
      </c>
      <c r="X196" s="14">
        <v>277152</v>
      </c>
      <c r="Y196" s="14">
        <v>1485.03</v>
      </c>
    </row>
    <row r="197" spans="2:25">
      <c r="B197" s="24" t="s">
        <v>95</v>
      </c>
      <c r="C197" s="14">
        <f t="shared" si="62"/>
        <v>842409.51623048878</v>
      </c>
      <c r="D197" s="14">
        <f t="shared" si="64"/>
        <v>253717.55677085798</v>
      </c>
      <c r="E197" s="14">
        <f t="shared" si="64"/>
        <v>125546.18695348971</v>
      </c>
      <c r="F197" s="14">
        <f t="shared" si="64"/>
        <v>46426.551747432663</v>
      </c>
      <c r="H197" s="24"/>
      <c r="I197" s="14">
        <f t="shared" si="63"/>
        <v>828998.2107352782</v>
      </c>
      <c r="J197" s="14">
        <f t="shared" si="65"/>
        <v>267729.43728495872</v>
      </c>
      <c r="K197" s="14">
        <f t="shared" si="66"/>
        <v>129711.89873821496</v>
      </c>
      <c r="L197" s="14">
        <f t="shared" si="67"/>
        <v>26785.540481457796</v>
      </c>
      <c r="P197" s="14">
        <v>1077250</v>
      </c>
      <c r="Q197" s="14">
        <v>324447</v>
      </c>
      <c r="R197" s="14">
        <v>160545</v>
      </c>
      <c r="S197" s="14">
        <v>59369</v>
      </c>
      <c r="T197" s="14"/>
      <c r="U197" s="14"/>
      <c r="V197" s="14">
        <v>1060100</v>
      </c>
      <c r="W197" s="14">
        <v>342365</v>
      </c>
      <c r="X197" s="14">
        <v>165872</v>
      </c>
      <c r="Y197" s="14">
        <v>34252.6</v>
      </c>
    </row>
    <row r="198" spans="2:25">
      <c r="B198" s="24" t="s">
        <v>96</v>
      </c>
      <c r="C198" s="14">
        <f t="shared" si="62"/>
        <v>779808.05255291099</v>
      </c>
      <c r="D198" s="14">
        <f t="shared" si="64"/>
        <v>222640.88388678071</v>
      </c>
      <c r="E198" s="14">
        <f t="shared" si="64"/>
        <v>97397.321955214255</v>
      </c>
      <c r="F198" s="14">
        <f t="shared" si="64"/>
        <v>34662.150759494754</v>
      </c>
      <c r="H198" s="24"/>
      <c r="I198" s="14">
        <f t="shared" si="63"/>
        <v>771691.68021095544</v>
      </c>
      <c r="J198" s="14">
        <f t="shared" si="65"/>
        <v>229179.18309532435</v>
      </c>
      <c r="K198" s="14">
        <f t="shared" si="66"/>
        <v>96110.147173468868</v>
      </c>
      <c r="L198" s="14">
        <f t="shared" si="67"/>
        <v>17015.544607709551</v>
      </c>
      <c r="P198" s="14">
        <v>997197</v>
      </c>
      <c r="Q198" s="14">
        <v>284707</v>
      </c>
      <c r="R198" s="14">
        <v>124549</v>
      </c>
      <c r="S198" s="14">
        <v>44325</v>
      </c>
      <c r="T198" s="14"/>
      <c r="U198" s="14"/>
      <c r="V198" s="14">
        <v>986818</v>
      </c>
      <c r="W198" s="14">
        <v>293068</v>
      </c>
      <c r="X198" s="14">
        <v>122903</v>
      </c>
      <c r="Y198" s="14">
        <v>21759</v>
      </c>
    </row>
    <row r="199" spans="2:25">
      <c r="B199" s="24" t="s">
        <v>97</v>
      </c>
      <c r="C199" s="14">
        <f t="shared" si="62"/>
        <v>690953.30479436426</v>
      </c>
      <c r="D199" s="14">
        <f t="shared" si="64"/>
        <v>183131.11889104338</v>
      </c>
      <c r="E199" s="14">
        <f t="shared" si="64"/>
        <v>72303.252579788794</v>
      </c>
      <c r="F199" s="14">
        <f t="shared" si="64"/>
        <v>27189.430245337855</v>
      </c>
      <c r="H199" s="24"/>
      <c r="I199" s="14">
        <f t="shared" si="63"/>
        <v>669259.8289096253</v>
      </c>
      <c r="J199" s="14">
        <f t="shared" si="65"/>
        <v>185327.76392276541</v>
      </c>
      <c r="K199" s="14">
        <f t="shared" si="66"/>
        <v>68592.190101104643</v>
      </c>
      <c r="L199" s="14">
        <f t="shared" si="67"/>
        <v>10880.829537937256</v>
      </c>
      <c r="P199" s="14">
        <v>883572</v>
      </c>
      <c r="Q199" s="14">
        <v>234183</v>
      </c>
      <c r="R199" s="14">
        <v>92459.4</v>
      </c>
      <c r="S199" s="14">
        <v>34769.1</v>
      </c>
      <c r="T199" s="14"/>
      <c r="U199" s="14"/>
      <c r="V199" s="14">
        <v>855831</v>
      </c>
      <c r="W199" s="14">
        <v>236992</v>
      </c>
      <c r="X199" s="14">
        <v>87713.8</v>
      </c>
      <c r="Y199" s="14">
        <v>13914.1</v>
      </c>
    </row>
    <row r="200" spans="2:25">
      <c r="B200" s="24" t="s">
        <v>98</v>
      </c>
      <c r="C200" s="14">
        <f t="shared" si="62"/>
        <v>594618.73089009023</v>
      </c>
      <c r="D200" s="14">
        <f t="shared" si="64"/>
        <v>145035.97902417497</v>
      </c>
      <c r="E200" s="14">
        <f t="shared" si="64"/>
        <v>54984.842060122923</v>
      </c>
      <c r="F200" s="14">
        <f t="shared" si="64"/>
        <v>20120.699172044617</v>
      </c>
      <c r="H200" s="24"/>
      <c r="I200" s="14">
        <f t="shared" si="63"/>
        <v>563823.55772689136</v>
      </c>
      <c r="J200" s="14">
        <f t="shared" si="65"/>
        <v>149100.01391220608</v>
      </c>
      <c r="K200" s="14">
        <f t="shared" si="66"/>
        <v>51879.598725805226</v>
      </c>
      <c r="L200" s="14">
        <f t="shared" si="67"/>
        <v>7447.4393196653746</v>
      </c>
      <c r="P200" s="14">
        <v>760382</v>
      </c>
      <c r="Q200" s="14">
        <v>185468</v>
      </c>
      <c r="R200" s="14">
        <v>70313.100000000006</v>
      </c>
      <c r="S200" s="14">
        <v>25729.8</v>
      </c>
      <c r="T200" s="14"/>
      <c r="U200" s="14"/>
      <c r="V200" s="14">
        <v>721002</v>
      </c>
      <c r="W200" s="14">
        <v>190665</v>
      </c>
      <c r="X200" s="14">
        <v>66342.2</v>
      </c>
      <c r="Y200" s="14">
        <v>9523.58</v>
      </c>
    </row>
    <row r="201" spans="2:25">
      <c r="B201" s="24" t="s">
        <v>99</v>
      </c>
      <c r="C201" s="14">
        <f t="shared" si="62"/>
        <v>478412.72985481954</v>
      </c>
      <c r="D201" s="14">
        <f t="shared" si="64"/>
        <v>110929.04385698978</v>
      </c>
      <c r="E201" s="14">
        <f t="shared" si="64"/>
        <v>41276.458618385797</v>
      </c>
      <c r="F201" s="14">
        <f t="shared" si="64"/>
        <v>15399.759752274345</v>
      </c>
      <c r="H201" s="24"/>
      <c r="I201" s="14">
        <f t="shared" si="63"/>
        <v>456956.23031083669</v>
      </c>
      <c r="J201" s="14">
        <f t="shared" si="65"/>
        <v>119108.78693681737</v>
      </c>
      <c r="K201" s="14">
        <f t="shared" si="66"/>
        <v>39231.617040862751</v>
      </c>
      <c r="L201" s="14">
        <f t="shared" si="67"/>
        <v>5099.6063373542065</v>
      </c>
      <c r="P201" s="14">
        <v>611781</v>
      </c>
      <c r="Q201" s="14">
        <v>141853</v>
      </c>
      <c r="R201" s="14">
        <v>52783.199999999997</v>
      </c>
      <c r="S201" s="14">
        <v>19692.8</v>
      </c>
      <c r="T201" s="14"/>
      <c r="U201" s="14"/>
      <c r="V201" s="14">
        <v>584343</v>
      </c>
      <c r="W201" s="14">
        <v>152313</v>
      </c>
      <c r="X201" s="14">
        <v>50168.3</v>
      </c>
      <c r="Y201" s="14">
        <v>6521.23</v>
      </c>
    </row>
    <row r="202" spans="2:25">
      <c r="B202" s="24" t="s">
        <v>100</v>
      </c>
      <c r="C202" s="14">
        <f t="shared" si="62"/>
        <v>374661.66919788386</v>
      </c>
      <c r="D202" s="14">
        <f t="shared" si="64"/>
        <v>79902.419764732433</v>
      </c>
      <c r="E202" s="14">
        <f t="shared" si="64"/>
        <v>29259.620772697464</v>
      </c>
      <c r="F202" s="14">
        <f t="shared" si="64"/>
        <v>12016.917484639649</v>
      </c>
      <c r="H202" s="24"/>
      <c r="I202" s="14">
        <f t="shared" si="63"/>
        <v>363407.1243359496</v>
      </c>
      <c r="J202" s="14">
        <f t="shared" si="65"/>
        <v>87930.428669673216</v>
      </c>
      <c r="K202" s="14">
        <f t="shared" si="66"/>
        <v>28704.173823906902</v>
      </c>
      <c r="L202" s="14">
        <f t="shared" si="67"/>
        <v>3711.1016309357146</v>
      </c>
      <c r="P202" s="14">
        <v>479107</v>
      </c>
      <c r="Q202" s="14">
        <v>102177</v>
      </c>
      <c r="R202" s="14">
        <v>37416.400000000001</v>
      </c>
      <c r="S202" s="14">
        <v>15366.9</v>
      </c>
      <c r="T202" s="14"/>
      <c r="U202" s="14"/>
      <c r="V202" s="14">
        <v>464715</v>
      </c>
      <c r="W202" s="14">
        <v>112443</v>
      </c>
      <c r="X202" s="14">
        <v>36706.1</v>
      </c>
      <c r="Y202" s="14">
        <v>4745.6499999999996</v>
      </c>
    </row>
    <row r="203" spans="2:25">
      <c r="B203" s="24" t="s">
        <v>101</v>
      </c>
      <c r="C203" s="14">
        <f t="shared" si="62"/>
        <v>302430.6626710397</v>
      </c>
      <c r="D203" s="14">
        <f t="shared" si="64"/>
        <v>55843.166055592679</v>
      </c>
      <c r="E203" s="14">
        <f t="shared" si="64"/>
        <v>19641.020648955662</v>
      </c>
      <c r="F203" s="14">
        <f t="shared" si="64"/>
        <v>8381.5482053103769</v>
      </c>
      <c r="H203" s="24"/>
      <c r="I203" s="14">
        <f t="shared" si="63"/>
        <v>299904.82322265126</v>
      </c>
      <c r="J203" s="14">
        <f t="shared" si="65"/>
        <v>65335.490585030027</v>
      </c>
      <c r="K203" s="14">
        <f t="shared" si="66"/>
        <v>19767.244568167567</v>
      </c>
      <c r="L203" s="14">
        <f t="shared" si="67"/>
        <v>2246.8612333070105</v>
      </c>
      <c r="P203" s="14">
        <v>386740</v>
      </c>
      <c r="Q203" s="14">
        <v>71410.7</v>
      </c>
      <c r="R203" s="14">
        <v>25116.400000000001</v>
      </c>
      <c r="S203" s="14">
        <v>10718.1</v>
      </c>
      <c r="T203" s="14"/>
      <c r="U203" s="14"/>
      <c r="V203" s="14">
        <v>383510</v>
      </c>
      <c r="W203" s="14">
        <v>83549.2</v>
      </c>
      <c r="X203" s="14">
        <v>25277.8</v>
      </c>
      <c r="Y203" s="14">
        <v>2873.22</v>
      </c>
    </row>
    <row r="204" spans="2:25">
      <c r="B204" s="24" t="s">
        <v>102</v>
      </c>
      <c r="C204" s="14">
        <f t="shared" si="62"/>
        <v>206587.9354668638</v>
      </c>
      <c r="D204" s="14">
        <f t="shared" si="64"/>
        <v>36303.09399630074</v>
      </c>
      <c r="E204" s="14">
        <f t="shared" si="64"/>
        <v>12016.916297399212</v>
      </c>
      <c r="F204" s="14">
        <f t="shared" si="64"/>
        <v>5554.0252378821706</v>
      </c>
      <c r="H204" s="24"/>
      <c r="I204" s="14">
        <f t="shared" si="63"/>
        <v>214310.20050181975</v>
      </c>
      <c r="J204" s="14">
        <f t="shared" si="65"/>
        <v>44457.425007771715</v>
      </c>
      <c r="K204" s="14">
        <f t="shared" si="66"/>
        <v>12446.070258600204</v>
      </c>
      <c r="L204" s="14">
        <f t="shared" si="67"/>
        <v>1413.7524019296334</v>
      </c>
      <c r="P204" s="14">
        <v>264179</v>
      </c>
      <c r="Q204" s="14">
        <v>46423.4</v>
      </c>
      <c r="R204" s="14">
        <v>15366.9</v>
      </c>
      <c r="S204" s="14">
        <v>7102.33</v>
      </c>
      <c r="T204" s="14"/>
      <c r="U204" s="14"/>
      <c r="V204" s="14">
        <v>274054</v>
      </c>
      <c r="W204" s="14">
        <v>56850.9</v>
      </c>
      <c r="X204" s="14">
        <v>15915.7</v>
      </c>
      <c r="Y204" s="14">
        <v>1807.87</v>
      </c>
    </row>
    <row r="205" spans="2:25">
      <c r="B205" s="24" t="s">
        <v>103</v>
      </c>
      <c r="C205" s="14">
        <f t="shared" si="62"/>
        <v>134432.11854881785</v>
      </c>
      <c r="D205" s="14">
        <f t="shared" si="64"/>
        <v>21206.261255226262</v>
      </c>
      <c r="E205" s="14">
        <f t="shared" si="64"/>
        <v>6816.3113172013764</v>
      </c>
      <c r="F205" s="14">
        <f t="shared" si="64"/>
        <v>3357.6579396932352</v>
      </c>
      <c r="H205" s="24"/>
      <c r="I205" s="14">
        <f t="shared" si="63"/>
        <v>150247.22614550966</v>
      </c>
      <c r="J205" s="14">
        <f t="shared" si="65"/>
        <v>27972.016053250412</v>
      </c>
      <c r="K205" s="14">
        <f t="shared" si="66"/>
        <v>7321.2142109022006</v>
      </c>
      <c r="L205" s="14">
        <f t="shared" si="67"/>
        <v>807.86545790215223</v>
      </c>
      <c r="P205" s="14">
        <v>171908</v>
      </c>
      <c r="Q205" s="14">
        <v>27118</v>
      </c>
      <c r="R205" s="14">
        <v>8716.5</v>
      </c>
      <c r="S205" s="14">
        <v>4293.68</v>
      </c>
      <c r="T205" s="14"/>
      <c r="U205" s="14"/>
      <c r="V205" s="14">
        <v>192132</v>
      </c>
      <c r="W205" s="14">
        <v>35769.9</v>
      </c>
      <c r="X205" s="14">
        <v>9362.17</v>
      </c>
      <c r="Y205" s="14">
        <v>1033.07</v>
      </c>
    </row>
    <row r="206" spans="2:25">
      <c r="B206" s="24" t="s">
        <v>104</v>
      </c>
      <c r="C206" s="14">
        <f t="shared" si="62"/>
        <v>81697.166158635169</v>
      </c>
      <c r="D206" s="14">
        <f t="shared" si="64"/>
        <v>10653.682966214627</v>
      </c>
      <c r="E206" s="14">
        <f t="shared" si="64"/>
        <v>3155.7033923228551</v>
      </c>
      <c r="F206" s="14">
        <f t="shared" si="64"/>
        <v>1767.1967543645299</v>
      </c>
      <c r="H206" s="24"/>
      <c r="I206" s="14">
        <f t="shared" si="63"/>
        <v>94767.374741005828</v>
      </c>
      <c r="J206" s="14">
        <f t="shared" si="65"/>
        <v>15223.050625627298</v>
      </c>
      <c r="K206" s="14">
        <f t="shared" si="66"/>
        <v>3812.0844747027745</v>
      </c>
      <c r="L206" s="14">
        <f t="shared" si="67"/>
        <v>454.42910139628708</v>
      </c>
      <c r="P206" s="14">
        <v>104472</v>
      </c>
      <c r="Q206" s="14">
        <v>13623.6</v>
      </c>
      <c r="R206" s="14">
        <v>4035.42</v>
      </c>
      <c r="S206" s="14">
        <v>2259.83</v>
      </c>
      <c r="T206" s="14"/>
      <c r="U206" s="14"/>
      <c r="V206" s="14">
        <v>121186</v>
      </c>
      <c r="W206" s="14">
        <v>19466.8</v>
      </c>
      <c r="X206" s="14">
        <v>4874.78</v>
      </c>
      <c r="Y206" s="14">
        <v>581.1</v>
      </c>
    </row>
    <row r="207" spans="2:25">
      <c r="B207" s="24" t="s">
        <v>105</v>
      </c>
      <c r="C207" s="14">
        <f t="shared" si="62"/>
        <v>42387.553279228705</v>
      </c>
      <c r="D207" s="14">
        <f t="shared" ref="D207:D211" si="68">Q207/Q301*D19*Q230</f>
        <v>3660.6088369118324</v>
      </c>
      <c r="E207" s="14">
        <f t="shared" ref="E207:E211" si="69">R207/R301*E19*R230</f>
        <v>1085.5538154598134</v>
      </c>
      <c r="F207" s="14">
        <f t="shared" ref="F207:F211" si="70">S207/S301*F19*S230</f>
        <v>504.89253957885029</v>
      </c>
      <c r="H207" s="24"/>
      <c r="I207" s="14">
        <f t="shared" si="63"/>
        <v>55317.299695475194</v>
      </c>
      <c r="J207" s="14">
        <f t="shared" si="65"/>
        <v>6235.6469229895065</v>
      </c>
      <c r="K207" s="14">
        <f t="shared" si="66"/>
        <v>1186.5484636522608</v>
      </c>
      <c r="L207" s="14">
        <f t="shared" si="67"/>
        <v>201.97272082441111</v>
      </c>
      <c r="P207" s="14">
        <v>54204.1</v>
      </c>
      <c r="Q207" s="14">
        <v>4681.08</v>
      </c>
      <c r="R207" s="14">
        <v>1388.18</v>
      </c>
      <c r="S207" s="14">
        <v>645.66700000000003</v>
      </c>
      <c r="T207" s="14"/>
      <c r="U207" s="14"/>
      <c r="V207" s="14">
        <v>70738.399999999994</v>
      </c>
      <c r="W207" s="14">
        <v>7973.98</v>
      </c>
      <c r="X207" s="14">
        <v>1517.32</v>
      </c>
      <c r="Y207" s="14">
        <v>258.267</v>
      </c>
    </row>
    <row r="208" spans="2:25">
      <c r="B208" s="24" t="s">
        <v>106</v>
      </c>
      <c r="C208" s="14">
        <f t="shared" si="62"/>
        <v>16182.193824404763</v>
      </c>
      <c r="D208" s="14">
        <f t="shared" si="68"/>
        <v>1590.4932601880876</v>
      </c>
      <c r="E208" s="14">
        <f t="shared" si="69"/>
        <v>429.18505554608959</v>
      </c>
      <c r="F208" s="14">
        <f t="shared" si="70"/>
        <v>252.41671371769385</v>
      </c>
      <c r="H208" s="24"/>
      <c r="I208" s="14">
        <f t="shared" si="63"/>
        <v>23057.001875355181</v>
      </c>
      <c r="J208" s="14">
        <f t="shared" si="65"/>
        <v>2877.9951151235214</v>
      </c>
      <c r="K208" s="14">
        <f t="shared" si="66"/>
        <v>479.68192543021036</v>
      </c>
      <c r="L208" s="14">
        <f t="shared" si="67"/>
        <v>75.742894823606989</v>
      </c>
      <c r="P208" s="14">
        <v>20693.5</v>
      </c>
      <c r="Q208" s="14">
        <v>2033.85</v>
      </c>
      <c r="R208" s="14">
        <v>548.81700000000001</v>
      </c>
      <c r="S208" s="14">
        <v>322.83300000000003</v>
      </c>
      <c r="T208" s="14"/>
      <c r="U208" s="14"/>
      <c r="V208" s="14">
        <v>29484.5</v>
      </c>
      <c r="W208" s="14">
        <v>3680.3</v>
      </c>
      <c r="X208" s="14">
        <v>613.38300000000004</v>
      </c>
      <c r="Y208" s="14">
        <v>96.85</v>
      </c>
    </row>
    <row r="209" spans="1:28">
      <c r="B209" s="24" t="s">
        <v>107</v>
      </c>
      <c r="C209" s="14">
        <f t="shared" si="62"/>
        <v>4333.7468032991756</v>
      </c>
      <c r="D209" s="14">
        <f t="shared" si="68"/>
        <v>656.44721364932286</v>
      </c>
      <c r="E209" s="14">
        <f t="shared" si="69"/>
        <v>100.97577292759706</v>
      </c>
      <c r="F209" s="14">
        <f t="shared" si="70"/>
        <v>126.18642707240292</v>
      </c>
      <c r="H209" s="24"/>
      <c r="I209" s="14">
        <f t="shared" si="63"/>
        <v>7309.5001469867711</v>
      </c>
      <c r="J209" s="14">
        <f t="shared" si="65"/>
        <v>1110.8097439875874</v>
      </c>
      <c r="K209" s="14">
        <f t="shared" si="66"/>
        <v>151.46820950060902</v>
      </c>
      <c r="L209" s="14">
        <f t="shared" si="67"/>
        <v>25.244675517661385</v>
      </c>
      <c r="P209" s="14">
        <v>5542.08</v>
      </c>
      <c r="Q209" s="14">
        <v>839.36699999999996</v>
      </c>
      <c r="R209" s="14">
        <v>129.13300000000001</v>
      </c>
      <c r="S209" s="14">
        <v>161.417</v>
      </c>
      <c r="T209" s="14"/>
      <c r="U209" s="14"/>
      <c r="V209" s="14">
        <v>9347.5499999999993</v>
      </c>
      <c r="W209" s="14">
        <v>1420.47</v>
      </c>
      <c r="X209" s="14">
        <v>193.7</v>
      </c>
      <c r="Y209" s="14">
        <v>32.283299999999997</v>
      </c>
    </row>
    <row r="210" spans="1:28">
      <c r="B210" s="24" t="s">
        <v>108</v>
      </c>
      <c r="C210" s="14">
        <f t="shared" si="62"/>
        <v>676.05752564102556</v>
      </c>
      <c r="D210" s="14">
        <f t="shared" si="68"/>
        <v>277.74824921630091</v>
      </c>
      <c r="E210" s="14">
        <f t="shared" si="69"/>
        <v>50.509743173431723</v>
      </c>
      <c r="F210" s="14">
        <f t="shared" si="70"/>
        <v>75.873271889400925</v>
      </c>
      <c r="H210" s="24"/>
      <c r="I210" s="14">
        <f t="shared" si="63"/>
        <v>1648.4193349753698</v>
      </c>
      <c r="J210" s="14">
        <f t="shared" si="65"/>
        <v>403.83489090909092</v>
      </c>
      <c r="K210" s="14">
        <f t="shared" si="66"/>
        <v>50.464337259100638</v>
      </c>
      <c r="L210" s="14">
        <f t="shared" si="67"/>
        <v>0</v>
      </c>
      <c r="P210" s="14">
        <v>864.46699999999998</v>
      </c>
      <c r="Q210" s="14">
        <v>355.11700000000002</v>
      </c>
      <c r="R210" s="14">
        <v>64.566699999999997</v>
      </c>
      <c r="S210" s="14">
        <v>96.85</v>
      </c>
      <c r="T210" s="14"/>
      <c r="U210" s="14"/>
      <c r="V210" s="14">
        <v>2107.9</v>
      </c>
      <c r="W210" s="14">
        <v>516.53300000000002</v>
      </c>
      <c r="X210" s="14">
        <v>64.566699999999997</v>
      </c>
      <c r="Y210" s="14">
        <v>0</v>
      </c>
    </row>
    <row r="211" spans="1:28">
      <c r="B211" s="24" t="s">
        <v>109</v>
      </c>
      <c r="C211" s="14">
        <f>P211/P305*C23*P234</f>
        <v>0</v>
      </c>
      <c r="D211" s="14">
        <f t="shared" si="68"/>
        <v>100.82307307692308</v>
      </c>
      <c r="E211" s="14">
        <f t="shared" si="69"/>
        <v>0</v>
      </c>
      <c r="F211" s="14">
        <f t="shared" si="70"/>
        <v>49.892449999999997</v>
      </c>
      <c r="H211" s="24"/>
      <c r="I211" s="14">
        <f>V211/V305*I23*V234</f>
        <v>99.123995461422098</v>
      </c>
      <c r="J211" s="14">
        <f t="shared" si="65"/>
        <v>151.49720670391062</v>
      </c>
      <c r="K211" s="14">
        <f t="shared" si="66"/>
        <v>50.63388578947368</v>
      </c>
      <c r="L211" s="14">
        <v>0</v>
      </c>
      <c r="P211" s="14">
        <v>0</v>
      </c>
      <c r="Q211" s="14">
        <v>129.13300000000001</v>
      </c>
      <c r="R211" s="14">
        <v>0</v>
      </c>
      <c r="S211" s="14">
        <v>64.566699999999997</v>
      </c>
      <c r="T211" s="14"/>
      <c r="U211" s="14"/>
      <c r="V211" s="14">
        <v>126.733</v>
      </c>
      <c r="W211" s="14">
        <v>193.7</v>
      </c>
      <c r="X211" s="14">
        <v>64.566699999999997</v>
      </c>
      <c r="Y211" s="14">
        <v>0</v>
      </c>
    </row>
    <row r="212" spans="1:28">
      <c r="P212" s="73"/>
      <c r="Q212" s="73"/>
      <c r="R212" s="73"/>
      <c r="S212" s="73"/>
      <c r="T212" s="73"/>
      <c r="U212" s="73"/>
      <c r="V212" s="73"/>
      <c r="W212" s="73"/>
      <c r="X212" s="73"/>
      <c r="Y212" s="73"/>
    </row>
    <row r="213" spans="1:28" ht="18">
      <c r="A213" s="25" t="s">
        <v>126</v>
      </c>
      <c r="B213" s="26" t="s">
        <v>110</v>
      </c>
      <c r="C213" s="13" t="s">
        <v>121</v>
      </c>
      <c r="D213" s="27" t="s">
        <v>122</v>
      </c>
      <c r="E213" s="27" t="s">
        <v>113</v>
      </c>
      <c r="F213" s="27" t="s">
        <v>123</v>
      </c>
      <c r="H213" s="26" t="s">
        <v>111</v>
      </c>
      <c r="I213" s="13" t="s">
        <v>121</v>
      </c>
      <c r="J213" s="27" t="s">
        <v>122</v>
      </c>
      <c r="K213" s="27" t="s">
        <v>113</v>
      </c>
      <c r="L213" s="27" t="s">
        <v>123</v>
      </c>
      <c r="P213" s="73"/>
      <c r="Q213" s="73"/>
      <c r="R213" s="73"/>
      <c r="S213" s="73"/>
      <c r="T213" s="73"/>
      <c r="U213" s="73"/>
      <c r="V213" s="73"/>
      <c r="W213" s="73"/>
      <c r="X213" s="73"/>
      <c r="Y213" s="73"/>
    </row>
    <row r="214" spans="1:28">
      <c r="B214" t="s">
        <v>124</v>
      </c>
      <c r="C214" s="14">
        <f>P191/P285*C26*P214</f>
        <v>922961.85999999987</v>
      </c>
      <c r="D214" s="14">
        <v>0</v>
      </c>
      <c r="E214" s="14">
        <v>0</v>
      </c>
      <c r="F214" s="14">
        <v>0</v>
      </c>
      <c r="I214" s="14">
        <f>V191/V285*I26*V214</f>
        <v>901419.10000000009</v>
      </c>
      <c r="J214" s="14">
        <v>0</v>
      </c>
      <c r="K214" s="14">
        <v>0</v>
      </c>
      <c r="L214" s="14">
        <v>0</v>
      </c>
      <c r="P214" s="73">
        <v>0.74831711423520497</v>
      </c>
      <c r="Q214" s="73">
        <v>0</v>
      </c>
      <c r="R214" s="73">
        <v>0</v>
      </c>
      <c r="S214" s="73">
        <v>0</v>
      </c>
      <c r="T214" s="73"/>
      <c r="U214" s="73"/>
      <c r="V214" s="73">
        <v>0.72348442553191494</v>
      </c>
      <c r="W214" s="73">
        <v>0</v>
      </c>
      <c r="X214" s="73">
        <v>0</v>
      </c>
      <c r="Y214" s="73">
        <v>0</v>
      </c>
      <c r="AB214" s="14">
        <f>SUM(C191,C214)</f>
        <v>4233770</v>
      </c>
    </row>
    <row r="215" spans="1:28">
      <c r="B215" s="24" t="s">
        <v>125</v>
      </c>
      <c r="C215" s="14">
        <f t="shared" ref="C215:C234" si="71">P192/P286*C27*P215</f>
        <v>732325.20649493963</v>
      </c>
      <c r="D215" s="14">
        <v>0</v>
      </c>
      <c r="E215" s="14">
        <v>0</v>
      </c>
      <c r="F215" s="14">
        <v>0</v>
      </c>
      <c r="H215" s="24"/>
      <c r="I215" s="14">
        <f t="shared" ref="I215:I234" si="72">V192/V286*I27*V215</f>
        <v>708803.01364673779</v>
      </c>
      <c r="J215" s="14">
        <v>0</v>
      </c>
      <c r="K215" s="14">
        <v>0</v>
      </c>
      <c r="L215" s="14">
        <v>0</v>
      </c>
      <c r="P215" s="73">
        <v>0.67711408490024338</v>
      </c>
      <c r="Q215" s="73">
        <v>0</v>
      </c>
      <c r="R215" s="73">
        <v>0</v>
      </c>
      <c r="S215" s="73">
        <v>0</v>
      </c>
      <c r="T215" s="73"/>
      <c r="U215" s="73"/>
      <c r="V215" s="73">
        <v>0.65371506955313652</v>
      </c>
      <c r="W215" s="73">
        <v>0</v>
      </c>
      <c r="X215" s="73">
        <v>0</v>
      </c>
      <c r="Y215" s="73">
        <v>0</v>
      </c>
      <c r="AB215" s="14">
        <f t="shared" ref="AB215:AB234" si="73">SUM(C192,C215)</f>
        <v>3359289.9999999995</v>
      </c>
    </row>
    <row r="216" spans="1:28">
      <c r="B216" s="24" t="s">
        <v>91</v>
      </c>
      <c r="C216" s="14">
        <f t="shared" si="71"/>
        <v>549056.96816518903</v>
      </c>
      <c r="D216" s="14">
        <f t="shared" ref="D216:F229" si="74">Q193/Q287*D28*Q216</f>
        <v>82356.477640774625</v>
      </c>
      <c r="E216" s="14">
        <v>0</v>
      </c>
      <c r="F216" s="14">
        <v>0</v>
      </c>
      <c r="H216" s="24"/>
      <c r="I216" s="14">
        <f t="shared" si="72"/>
        <v>525109.67134230025</v>
      </c>
      <c r="J216" s="14">
        <f t="shared" ref="J216:J234" si="75">W193/W287*J28*W216</f>
        <v>88401.384795484206</v>
      </c>
      <c r="K216" s="14">
        <v>0</v>
      </c>
      <c r="L216" s="14">
        <v>0</v>
      </c>
      <c r="P216" s="73">
        <v>0.77301291338972522</v>
      </c>
      <c r="Q216" s="73">
        <v>0.64931204958751576</v>
      </c>
      <c r="R216" s="73">
        <v>0</v>
      </c>
      <c r="S216" s="73">
        <v>0</v>
      </c>
      <c r="T216" s="73"/>
      <c r="U216" s="73"/>
      <c r="V216" s="73">
        <v>0.69438076679854777</v>
      </c>
      <c r="W216" s="73">
        <v>0.82623917980968187</v>
      </c>
      <c r="X216" s="73">
        <v>0</v>
      </c>
      <c r="Y216" s="73">
        <v>0</v>
      </c>
      <c r="AB216" s="14">
        <f t="shared" si="73"/>
        <v>2518610</v>
      </c>
    </row>
    <row r="217" spans="1:28">
      <c r="B217" s="24" t="s">
        <v>92</v>
      </c>
      <c r="C217" s="14">
        <f t="shared" si="71"/>
        <v>294143.05318701139</v>
      </c>
      <c r="D217" s="14">
        <f t="shared" si="74"/>
        <v>169110.45195137541</v>
      </c>
      <c r="E217" s="14">
        <f t="shared" si="74"/>
        <v>88549.20609338861</v>
      </c>
      <c r="F217" s="14">
        <v>0</v>
      </c>
      <c r="H217" s="24"/>
      <c r="I217" s="14">
        <f t="shared" si="72"/>
        <v>320904.71418774506</v>
      </c>
      <c r="J217" s="14">
        <f t="shared" si="75"/>
        <v>159250.53723113937</v>
      </c>
      <c r="K217" s="14">
        <f t="shared" ref="K217:K234" si="76">X194/X288*K29*X217</f>
        <v>81314.448623643853</v>
      </c>
      <c r="L217" s="14">
        <v>0</v>
      </c>
      <c r="P217" s="73">
        <v>0.45448808272449176</v>
      </c>
      <c r="Q217" s="73">
        <v>1.0574877305222836</v>
      </c>
      <c r="R217" s="73">
        <v>1.2098313186637843</v>
      </c>
      <c r="S217" s="73">
        <v>0</v>
      </c>
      <c r="T217" s="73"/>
      <c r="U217" s="73"/>
      <c r="V217" s="73">
        <v>0.52832249329369207</v>
      </c>
      <c r="W217" s="73">
        <v>1.1418131378177039</v>
      </c>
      <c r="X217" s="73">
        <v>1.131158112384075</v>
      </c>
      <c r="Y217" s="73">
        <v>0</v>
      </c>
      <c r="AB217" s="14">
        <f t="shared" si="73"/>
        <v>1349280</v>
      </c>
    </row>
    <row r="218" spans="1:28">
      <c r="B218" s="24" t="s">
        <v>93</v>
      </c>
      <c r="C218" s="14">
        <f t="shared" si="71"/>
        <v>294012.23026640387</v>
      </c>
      <c r="D218" s="14">
        <f t="shared" si="74"/>
        <v>107304.82486187044</v>
      </c>
      <c r="E218" s="14">
        <f t="shared" si="74"/>
        <v>88549.21240524383</v>
      </c>
      <c r="F218" s="14">
        <f t="shared" si="74"/>
        <v>1752.4030696713551</v>
      </c>
      <c r="H218" s="24"/>
      <c r="I218" s="14">
        <f t="shared" si="72"/>
        <v>310791.69921413844</v>
      </c>
      <c r="J218" s="14">
        <f t="shared" si="75"/>
        <v>113258.86616287226</v>
      </c>
      <c r="K218" s="14">
        <f t="shared" si="76"/>
        <v>81314.449179723204</v>
      </c>
      <c r="L218" s="14">
        <f t="shared" ref="L218:L233" si="77">Y195/Y289*L30*Y218</f>
        <v>696.7388131308893</v>
      </c>
      <c r="P218" s="73">
        <v>0.57127477005792948</v>
      </c>
      <c r="Q218" s="73">
        <v>0.91385678873276333</v>
      </c>
      <c r="R218" s="73">
        <v>1.3888663250273072</v>
      </c>
      <c r="S218" s="73">
        <v>0.63033206052989488</v>
      </c>
      <c r="T218" s="73"/>
      <c r="U218" s="73"/>
      <c r="V218" s="73">
        <v>0.62391253738490071</v>
      </c>
      <c r="W218" s="73">
        <v>1.0919219792403305</v>
      </c>
      <c r="X218" s="73">
        <v>1.2985505787732179</v>
      </c>
      <c r="Y218" s="73">
        <v>0.47436911919533981</v>
      </c>
      <c r="AB218" s="14">
        <f t="shared" si="73"/>
        <v>1348680</v>
      </c>
    </row>
    <row r="219" spans="1:28">
      <c r="B219" s="24" t="s">
        <v>94</v>
      </c>
      <c r="C219" s="14">
        <f t="shared" si="71"/>
        <v>266600.9065003834</v>
      </c>
      <c r="D219" s="14">
        <f t="shared" si="74"/>
        <v>87810.193556650265</v>
      </c>
      <c r="E219" s="14">
        <f t="shared" si="74"/>
        <v>65085.218859675173</v>
      </c>
      <c r="F219" s="14">
        <f t="shared" si="74"/>
        <v>943.06228522779827</v>
      </c>
      <c r="H219" s="24"/>
      <c r="I219" s="14">
        <f t="shared" si="72"/>
        <v>269256.14881161065</v>
      </c>
      <c r="J219" s="14">
        <f t="shared" si="75"/>
        <v>93503.676636217919</v>
      </c>
      <c r="K219" s="14">
        <f t="shared" si="76"/>
        <v>60419.127833840183</v>
      </c>
      <c r="L219" s="14">
        <f t="shared" si="77"/>
        <v>323.73671418685115</v>
      </c>
      <c r="P219" s="73">
        <v>0.65757977548396174</v>
      </c>
      <c r="Q219" s="73">
        <v>0.91718273038023823</v>
      </c>
      <c r="R219" s="73">
        <v>1.2492509583537936</v>
      </c>
      <c r="S219" s="73">
        <v>0.65243087326657767</v>
      </c>
      <c r="T219" s="73"/>
      <c r="U219" s="73"/>
      <c r="V219" s="73">
        <v>0.69640531076576728</v>
      </c>
      <c r="W219" s="73">
        <v>1.1235359942995657</v>
      </c>
      <c r="X219" s="73">
        <v>1.3390044246562758</v>
      </c>
      <c r="Y219" s="73">
        <v>0.37251168846401966</v>
      </c>
      <c r="AB219" s="14">
        <f t="shared" si="73"/>
        <v>1222940</v>
      </c>
    </row>
    <row r="220" spans="1:28">
      <c r="B220" s="24" t="s">
        <v>95</v>
      </c>
      <c r="C220" s="14">
        <f t="shared" si="71"/>
        <v>234840.48376951125</v>
      </c>
      <c r="D220" s="14">
        <f t="shared" si="74"/>
        <v>70729.443229142023</v>
      </c>
      <c r="E220" s="14">
        <f t="shared" si="74"/>
        <v>34998.81304651031</v>
      </c>
      <c r="F220" s="14">
        <f t="shared" si="74"/>
        <v>12942.448252567339</v>
      </c>
      <c r="H220" s="24"/>
      <c r="I220" s="14">
        <f t="shared" si="72"/>
        <v>231101.7892647218</v>
      </c>
      <c r="J220" s="14">
        <f t="shared" si="75"/>
        <v>74635.562715041291</v>
      </c>
      <c r="K220" s="14">
        <f t="shared" si="76"/>
        <v>36160.101261785043</v>
      </c>
      <c r="L220" s="14">
        <f t="shared" si="77"/>
        <v>7467.0595185421998</v>
      </c>
      <c r="P220" s="73">
        <v>0.71648534020370036</v>
      </c>
      <c r="Q220" s="73">
        <v>0.9046322548906417</v>
      </c>
      <c r="R220" s="73">
        <v>0.97424389919921062</v>
      </c>
      <c r="S220" s="73">
        <v>1.0217211650721256</v>
      </c>
      <c r="T220" s="73"/>
      <c r="U220" s="73"/>
      <c r="V220" s="73">
        <v>0.76207202970657351</v>
      </c>
      <c r="W220" s="73">
        <v>1.0116414964565132</v>
      </c>
      <c r="X220" s="73">
        <v>1.110611039859084</v>
      </c>
      <c r="Y220" s="73">
        <v>0.53442751505278452</v>
      </c>
      <c r="AB220" s="14">
        <f t="shared" si="73"/>
        <v>1077250</v>
      </c>
    </row>
    <row r="221" spans="1:28">
      <c r="B221" s="24" t="s">
        <v>96</v>
      </c>
      <c r="C221" s="14">
        <f t="shared" si="71"/>
        <v>217388.94744708904</v>
      </c>
      <c r="D221" s="14">
        <f t="shared" si="74"/>
        <v>62066.116113219316</v>
      </c>
      <c r="E221" s="14">
        <f t="shared" si="74"/>
        <v>27151.678044785735</v>
      </c>
      <c r="F221" s="14">
        <f t="shared" si="74"/>
        <v>9662.8492405052439</v>
      </c>
      <c r="H221" s="24"/>
      <c r="I221" s="14">
        <f t="shared" si="72"/>
        <v>215126.31978904459</v>
      </c>
      <c r="J221" s="14">
        <f t="shared" si="75"/>
        <v>63888.816904675645</v>
      </c>
      <c r="K221" s="14">
        <f t="shared" si="76"/>
        <v>26792.852826531143</v>
      </c>
      <c r="L221" s="14">
        <f t="shared" si="77"/>
        <v>4743.4553922904479</v>
      </c>
      <c r="P221" s="73">
        <v>0.83358571365342471</v>
      </c>
      <c r="Q221" s="73">
        <v>1.1428359496455169</v>
      </c>
      <c r="R221" s="73">
        <v>1.1420883028215922</v>
      </c>
      <c r="S221" s="73">
        <v>1.1814013313647489</v>
      </c>
      <c r="T221" s="73"/>
      <c r="U221" s="73"/>
      <c r="V221" s="73">
        <v>0.8815929280818865</v>
      </c>
      <c r="W221" s="73">
        <v>1.3637826183774062</v>
      </c>
      <c r="X221" s="73">
        <v>1.3568761915017087</v>
      </c>
      <c r="Y221" s="73">
        <v>0.59570778308439098</v>
      </c>
      <c r="AB221" s="14">
        <f t="shared" si="73"/>
        <v>997197</v>
      </c>
    </row>
    <row r="222" spans="1:28">
      <c r="B222" s="24" t="s">
        <v>97</v>
      </c>
      <c r="C222" s="14">
        <f t="shared" si="71"/>
        <v>192618.69520563568</v>
      </c>
      <c r="D222" s="14">
        <f t="shared" si="74"/>
        <v>51051.881108956644</v>
      </c>
      <c r="E222" s="14">
        <f t="shared" si="74"/>
        <v>20156.1474202112</v>
      </c>
      <c r="F222" s="14">
        <f t="shared" si="74"/>
        <v>7579.6697546621408</v>
      </c>
      <c r="H222" s="24"/>
      <c r="I222" s="14">
        <f t="shared" si="72"/>
        <v>186571.17109037467</v>
      </c>
      <c r="J222" s="14">
        <f t="shared" si="75"/>
        <v>51664.236077234586</v>
      </c>
      <c r="K222" s="14">
        <f t="shared" si="76"/>
        <v>19121.609898895364</v>
      </c>
      <c r="L222" s="14">
        <f t="shared" si="77"/>
        <v>3033.2704620627446</v>
      </c>
      <c r="P222" s="73">
        <v>0.96992056779607494</v>
      </c>
      <c r="Q222" s="73">
        <v>1.2806297843760852</v>
      </c>
      <c r="R222" s="73">
        <v>1.2708480581875663</v>
      </c>
      <c r="S222" s="73">
        <v>1.327072442147412</v>
      </c>
      <c r="T222" s="73"/>
      <c r="U222" s="73"/>
      <c r="V222" s="73">
        <v>1.0070285245277251</v>
      </c>
      <c r="W222" s="73">
        <v>1.533116955711799</v>
      </c>
      <c r="X222" s="73">
        <v>1.500731846942444</v>
      </c>
      <c r="Y222" s="73">
        <v>0.62505106827670853</v>
      </c>
      <c r="AB222" s="14">
        <f t="shared" si="73"/>
        <v>883572</v>
      </c>
    </row>
    <row r="223" spans="1:28">
      <c r="B223" s="24" t="s">
        <v>98</v>
      </c>
      <c r="C223" s="14">
        <f t="shared" si="71"/>
        <v>165763.26910990971</v>
      </c>
      <c r="D223" s="14">
        <f t="shared" si="74"/>
        <v>40432.020975825035</v>
      </c>
      <c r="E223" s="14">
        <f t="shared" si="74"/>
        <v>15328.257939877079</v>
      </c>
      <c r="F223" s="14">
        <f t="shared" si="74"/>
        <v>5609.1008279553826</v>
      </c>
      <c r="H223" s="24"/>
      <c r="I223" s="14">
        <f t="shared" si="72"/>
        <v>157178.44227310855</v>
      </c>
      <c r="J223" s="14">
        <f t="shared" si="75"/>
        <v>41564.986087793885</v>
      </c>
      <c r="K223" s="14">
        <f t="shared" si="76"/>
        <v>14462.601274194769</v>
      </c>
      <c r="L223" s="14">
        <f t="shared" si="77"/>
        <v>2076.1406803346258</v>
      </c>
      <c r="P223" s="73">
        <v>1.1453376422228019</v>
      </c>
      <c r="Q223" s="73">
        <v>1.3593048996764561</v>
      </c>
      <c r="R223" s="73">
        <v>1.3841182531723351</v>
      </c>
      <c r="S223" s="73">
        <v>1.3921058290196506</v>
      </c>
      <c r="T223" s="73"/>
      <c r="U223" s="73"/>
      <c r="V223" s="73">
        <v>1.1744350024760293</v>
      </c>
      <c r="W223" s="73">
        <v>1.690458983378792</v>
      </c>
      <c r="X223" s="73">
        <v>1.5936254300591359</v>
      </c>
      <c r="Y223" s="73">
        <v>0.59402905475315237</v>
      </c>
      <c r="AB223" s="14">
        <f t="shared" si="73"/>
        <v>760382</v>
      </c>
    </row>
    <row r="224" spans="1:28">
      <c r="B224" s="24" t="s">
        <v>99</v>
      </c>
      <c r="C224" s="14">
        <f t="shared" si="71"/>
        <v>133368.27014518043</v>
      </c>
      <c r="D224" s="14">
        <f t="shared" si="74"/>
        <v>30923.956143010229</v>
      </c>
      <c r="E224" s="14">
        <f t="shared" si="74"/>
        <v>11506.741381614203</v>
      </c>
      <c r="F224" s="14">
        <f t="shared" si="74"/>
        <v>4293.0402477256557</v>
      </c>
      <c r="H224" s="24"/>
      <c r="I224" s="14">
        <f t="shared" si="72"/>
        <v>127386.76968916335</v>
      </c>
      <c r="J224" s="14">
        <f t="shared" si="75"/>
        <v>33204.213063182637</v>
      </c>
      <c r="K224" s="14">
        <f t="shared" si="76"/>
        <v>10936.682959137252</v>
      </c>
      <c r="L224" s="14">
        <f t="shared" si="77"/>
        <v>1421.623662645794</v>
      </c>
      <c r="P224" s="73">
        <v>1.279959310686843</v>
      </c>
      <c r="Q224" s="73">
        <v>1.491171990649014</v>
      </c>
      <c r="R224" s="73">
        <v>1.4946792103454336</v>
      </c>
      <c r="S224" s="73">
        <v>1.4244790885311487</v>
      </c>
      <c r="T224" s="73"/>
      <c r="U224" s="73"/>
      <c r="V224" s="73">
        <v>1.3046781945079038</v>
      </c>
      <c r="W224" s="73">
        <v>1.9458975846292219</v>
      </c>
      <c r="X224" s="73">
        <v>1.8364548405373193</v>
      </c>
      <c r="Y224" s="73">
        <v>0.63344365149582604</v>
      </c>
      <c r="AB224" s="14">
        <f t="shared" si="73"/>
        <v>611781</v>
      </c>
    </row>
    <row r="225" spans="1:28">
      <c r="B225" s="24" t="s">
        <v>100</v>
      </c>
      <c r="C225" s="14">
        <f t="shared" si="71"/>
        <v>104445.33080211615</v>
      </c>
      <c r="D225" s="14">
        <f t="shared" si="74"/>
        <v>22274.580235267567</v>
      </c>
      <c r="E225" s="14">
        <f t="shared" si="74"/>
        <v>8156.7792273025352</v>
      </c>
      <c r="F225" s="14">
        <f t="shared" si="74"/>
        <v>3349.982515360352</v>
      </c>
      <c r="H225" s="24"/>
      <c r="I225" s="14">
        <f t="shared" si="72"/>
        <v>101307.87566405044</v>
      </c>
      <c r="J225" s="14">
        <f t="shared" si="75"/>
        <v>24512.571330326769</v>
      </c>
      <c r="K225" s="14">
        <f t="shared" si="76"/>
        <v>8001.9261760931004</v>
      </c>
      <c r="L225" s="14">
        <f t="shared" si="77"/>
        <v>1034.5483690642848</v>
      </c>
      <c r="P225" s="73">
        <v>1.4862078797570939</v>
      </c>
      <c r="Q225" s="73">
        <v>1.6422739992665518</v>
      </c>
      <c r="R225" s="73">
        <v>1.5878053885113923</v>
      </c>
      <c r="S225" s="73">
        <v>1.4215961477450723</v>
      </c>
      <c r="T225" s="73"/>
      <c r="U225" s="73"/>
      <c r="V225" s="73">
        <v>1.5351638568193944</v>
      </c>
      <c r="W225" s="73">
        <v>2.2195766842510949</v>
      </c>
      <c r="X225" s="73">
        <v>2.0688357310782295</v>
      </c>
      <c r="Y225" s="73">
        <v>0.6518467676311902</v>
      </c>
      <c r="AB225" s="14">
        <f t="shared" si="73"/>
        <v>479107</v>
      </c>
    </row>
    <row r="226" spans="1:28">
      <c r="B226" s="24" t="s">
        <v>101</v>
      </c>
      <c r="C226" s="14">
        <f t="shared" si="71"/>
        <v>84309.337328960304</v>
      </c>
      <c r="D226" s="14">
        <f t="shared" si="74"/>
        <v>15567.533944407314</v>
      </c>
      <c r="E226" s="14">
        <f t="shared" si="74"/>
        <v>5475.3793510443393</v>
      </c>
      <c r="F226" s="14">
        <f t="shared" si="74"/>
        <v>2336.5517946896239</v>
      </c>
      <c r="H226" s="24"/>
      <c r="I226" s="14">
        <f t="shared" si="72"/>
        <v>83605.176777348781</v>
      </c>
      <c r="J226" s="14">
        <f t="shared" si="75"/>
        <v>18213.709414969977</v>
      </c>
      <c r="K226" s="14">
        <f t="shared" si="76"/>
        <v>5510.5554318324339</v>
      </c>
      <c r="L226" s="14">
        <f t="shared" si="77"/>
        <v>626.35876669298943</v>
      </c>
      <c r="P226" s="73">
        <v>1.8699180177678845</v>
      </c>
      <c r="Q226" s="73">
        <v>2.0282964406955162</v>
      </c>
      <c r="R226" s="73">
        <v>1.9492602554464264</v>
      </c>
      <c r="S226" s="73">
        <v>1.6362370093797001</v>
      </c>
      <c r="T226" s="73"/>
      <c r="U226" s="73"/>
      <c r="V226" s="73">
        <v>2.0134260469141929</v>
      </c>
      <c r="W226" s="73">
        <v>2.856044794931528</v>
      </c>
      <c r="X226" s="73">
        <v>2.5646581209580055</v>
      </c>
      <c r="Y226" s="73">
        <v>0.73078897955602362</v>
      </c>
      <c r="AB226" s="14">
        <f t="shared" si="73"/>
        <v>386740</v>
      </c>
    </row>
    <row r="227" spans="1:28">
      <c r="B227" s="24" t="s">
        <v>102</v>
      </c>
      <c r="C227" s="14">
        <f t="shared" si="71"/>
        <v>57591.064533136203</v>
      </c>
      <c r="D227" s="14">
        <f t="shared" si="74"/>
        <v>10120.306003699261</v>
      </c>
      <c r="E227" s="14">
        <f t="shared" si="74"/>
        <v>3349.9837026007863</v>
      </c>
      <c r="F227" s="14">
        <f t="shared" si="74"/>
        <v>1548.3047621178296</v>
      </c>
      <c r="H227" s="24"/>
      <c r="I227" s="14">
        <f t="shared" si="72"/>
        <v>59743.799498180262</v>
      </c>
      <c r="J227" s="14">
        <f t="shared" si="75"/>
        <v>12393.474992228294</v>
      </c>
      <c r="K227" s="14">
        <f t="shared" si="76"/>
        <v>3469.6297413997941</v>
      </c>
      <c r="L227" s="14">
        <f t="shared" si="77"/>
        <v>394.1175980703664</v>
      </c>
      <c r="P227" s="73">
        <v>2.618593824583523</v>
      </c>
      <c r="Q227" s="73">
        <v>2.8508616463649266</v>
      </c>
      <c r="R227" s="73">
        <v>2.747550620565435</v>
      </c>
      <c r="S227" s="73">
        <v>2.1271958035633536</v>
      </c>
      <c r="T227" s="73"/>
      <c r="U227" s="73"/>
      <c r="V227" s="73">
        <v>2.9620199546698389</v>
      </c>
      <c r="W227" s="73">
        <v>4.2773353424419707</v>
      </c>
      <c r="X227" s="73">
        <v>3.7445690862291712</v>
      </c>
      <c r="Y227" s="73">
        <v>0.96947277680461097</v>
      </c>
      <c r="AB227" s="14">
        <f t="shared" si="73"/>
        <v>264179</v>
      </c>
    </row>
    <row r="228" spans="1:28">
      <c r="B228" s="24" t="s">
        <v>103</v>
      </c>
      <c r="C228" s="14">
        <f t="shared" si="71"/>
        <v>37475.88145118214</v>
      </c>
      <c r="D228" s="14">
        <f t="shared" si="74"/>
        <v>5911.738744773741</v>
      </c>
      <c r="E228" s="14">
        <f t="shared" si="74"/>
        <v>1900.1886827986241</v>
      </c>
      <c r="F228" s="14">
        <f t="shared" si="74"/>
        <v>936.0220603067653</v>
      </c>
      <c r="H228" s="24"/>
      <c r="I228" s="14">
        <f t="shared" si="72"/>
        <v>41884.773854490326</v>
      </c>
      <c r="J228" s="14">
        <f t="shared" si="75"/>
        <v>7797.8839467495909</v>
      </c>
      <c r="K228" s="14">
        <f t="shared" si="76"/>
        <v>2040.955789097799</v>
      </c>
      <c r="L228" s="14">
        <f t="shared" si="77"/>
        <v>225.20454209784774</v>
      </c>
      <c r="P228" s="73">
        <v>3.9192567480567644</v>
      </c>
      <c r="Q228" s="73">
        <v>4.1798426391699826</v>
      </c>
      <c r="R228" s="73">
        <v>4.243767796908088</v>
      </c>
      <c r="S228" s="73">
        <v>2.9956491661260962</v>
      </c>
      <c r="T228" s="73"/>
      <c r="U228" s="73"/>
      <c r="V228" s="73">
        <v>4.6796174236396677</v>
      </c>
      <c r="W228" s="73">
        <v>6.6215535495116402</v>
      </c>
      <c r="X228" s="73">
        <v>5.812228076568041</v>
      </c>
      <c r="Y228" s="73">
        <v>1.2869580479036098</v>
      </c>
      <c r="AB228" s="14">
        <f t="shared" si="73"/>
        <v>171908</v>
      </c>
    </row>
    <row r="229" spans="1:28">
      <c r="B229" s="24" t="s">
        <v>104</v>
      </c>
      <c r="C229" s="14">
        <f t="shared" si="71"/>
        <v>22774.833841364827</v>
      </c>
      <c r="D229" s="14">
        <f t="shared" si="74"/>
        <v>2969.9170337853725</v>
      </c>
      <c r="E229" s="14">
        <f t="shared" si="74"/>
        <v>879.71660767714502</v>
      </c>
      <c r="F229" s="14">
        <f t="shared" si="74"/>
        <v>492.63324563547013</v>
      </c>
      <c r="H229" s="24"/>
      <c r="I229" s="14">
        <f t="shared" si="72"/>
        <v>26418.625258994161</v>
      </c>
      <c r="J229" s="14">
        <f t="shared" si="75"/>
        <v>4243.7493743727</v>
      </c>
      <c r="K229" s="14">
        <f t="shared" si="76"/>
        <v>1062.695525297225</v>
      </c>
      <c r="L229" s="14">
        <f t="shared" si="77"/>
        <v>126.67089860371293</v>
      </c>
      <c r="P229" s="73">
        <v>6.3249123699561522</v>
      </c>
      <c r="Q229" s="73">
        <v>6.1923829731312452</v>
      </c>
      <c r="R229" s="73">
        <v>6.2930567450599222</v>
      </c>
      <c r="S229" s="73">
        <v>4.006369064103608</v>
      </c>
      <c r="T229" s="73"/>
      <c r="U229" s="73"/>
      <c r="V229" s="73">
        <v>7.9849964501499633</v>
      </c>
      <c r="W229" s="73">
        <v>10.52863405821345</v>
      </c>
      <c r="X229" s="73">
        <v>8.8633397001903766</v>
      </c>
      <c r="Y229" s="73">
        <v>1.7672633403725531</v>
      </c>
      <c r="AB229" s="14">
        <f t="shared" si="73"/>
        <v>104472</v>
      </c>
    </row>
    <row r="230" spans="1:28">
      <c r="B230" s="24" t="s">
        <v>105</v>
      </c>
      <c r="C230" s="14">
        <f t="shared" si="71"/>
        <v>11816.546720771297</v>
      </c>
      <c r="D230" s="14">
        <f t="shared" ref="D230:D234" si="78">Q207/Q301*D42*Q230</f>
        <v>1020.4711630881683</v>
      </c>
      <c r="E230" s="14">
        <f t="shared" ref="E230:E234" si="79">R207/R301*E42*R230</f>
        <v>302.62618454018661</v>
      </c>
      <c r="F230" s="14">
        <f t="shared" ref="F230:F234" si="80">S207/S301*F42*S230</f>
        <v>140.77446042114971</v>
      </c>
      <c r="H230" s="24"/>
      <c r="I230" s="14">
        <f t="shared" si="72"/>
        <v>15421.100304524807</v>
      </c>
      <c r="J230" s="14">
        <f t="shared" si="75"/>
        <v>1738.3330770104928</v>
      </c>
      <c r="K230" s="14">
        <f t="shared" si="76"/>
        <v>330.77153634773919</v>
      </c>
      <c r="L230" s="14">
        <f t="shared" si="77"/>
        <v>56.294279175588862</v>
      </c>
      <c r="P230" s="73">
        <v>8.948639248230414</v>
      </c>
      <c r="Q230" s="73">
        <v>7.4957581283038568</v>
      </c>
      <c r="R230" s="73">
        <v>7.0417029465562031</v>
      </c>
      <c r="S230" s="73">
        <v>4.0372207961881337</v>
      </c>
      <c r="T230" s="73"/>
      <c r="U230" s="73"/>
      <c r="V230" s="73">
        <v>12.246549231510627</v>
      </c>
      <c r="W230" s="73">
        <v>14.07497325656275</v>
      </c>
      <c r="X230" s="73">
        <v>11.135542860711608</v>
      </c>
      <c r="Y230" s="73">
        <v>2.0437136866523908</v>
      </c>
      <c r="AB230" s="14">
        <f t="shared" si="73"/>
        <v>54204.100000000006</v>
      </c>
    </row>
    <row r="231" spans="1:28">
      <c r="B231" s="24" t="s">
        <v>106</v>
      </c>
      <c r="C231" s="14">
        <f t="shared" si="71"/>
        <v>4511.3061755952385</v>
      </c>
      <c r="D231" s="14">
        <f t="shared" si="78"/>
        <v>443.35673981191218</v>
      </c>
      <c r="E231" s="14">
        <f t="shared" si="79"/>
        <v>119.63194445391038</v>
      </c>
      <c r="F231" s="14">
        <f t="shared" si="80"/>
        <v>70.416286282306174</v>
      </c>
      <c r="H231" s="24"/>
      <c r="I231" s="14">
        <f t="shared" si="72"/>
        <v>6427.4981246448187</v>
      </c>
      <c r="J231" s="14">
        <f t="shared" si="75"/>
        <v>802.30488487647847</v>
      </c>
      <c r="K231" s="14">
        <f t="shared" si="76"/>
        <v>133.70107456978968</v>
      </c>
      <c r="L231" s="14">
        <f t="shared" si="77"/>
        <v>21.107105176393009</v>
      </c>
      <c r="P231" s="73">
        <v>10.991702741702744</v>
      </c>
      <c r="Q231" s="73">
        <v>9.3373402459609345</v>
      </c>
      <c r="R231" s="73">
        <v>8.8612442210484481</v>
      </c>
      <c r="S231" s="73">
        <v>4.4124853734734453</v>
      </c>
      <c r="T231" s="73"/>
      <c r="U231" s="73"/>
      <c r="V231" s="73">
        <v>17.508393635158171</v>
      </c>
      <c r="W231" s="73">
        <v>21.071367625446147</v>
      </c>
      <c r="X231" s="73">
        <v>15.644396716555681</v>
      </c>
      <c r="Y231" s="73">
        <v>2.4632426640290142</v>
      </c>
      <c r="AB231" s="14">
        <f t="shared" si="73"/>
        <v>20693.5</v>
      </c>
    </row>
    <row r="232" spans="1:28">
      <c r="B232" s="24" t="s">
        <v>107</v>
      </c>
      <c r="C232" s="14">
        <f t="shared" si="71"/>
        <v>1208.3331967008248</v>
      </c>
      <c r="D232" s="14">
        <f t="shared" si="78"/>
        <v>182.9197863506771</v>
      </c>
      <c r="E232" s="14">
        <f t="shared" si="79"/>
        <v>28.157227072402939</v>
      </c>
      <c r="F232" s="14">
        <f t="shared" si="80"/>
        <v>35.230572927597059</v>
      </c>
      <c r="H232" s="24"/>
      <c r="I232" s="14">
        <f t="shared" si="72"/>
        <v>2038.0498530132288</v>
      </c>
      <c r="J232" s="14">
        <f t="shared" si="75"/>
        <v>309.66025601241273</v>
      </c>
      <c r="K232" s="14">
        <f t="shared" si="76"/>
        <v>42.231790499390982</v>
      </c>
      <c r="L232" s="14">
        <f t="shared" si="77"/>
        <v>7.0386244823386104</v>
      </c>
      <c r="P232" s="73">
        <v>8.8164775472798471</v>
      </c>
      <c r="Q232" s="73">
        <v>7.6419132216678545</v>
      </c>
      <c r="R232" s="73">
        <v>7.2213353620146901</v>
      </c>
      <c r="S232" s="73">
        <v>3.2000694648478483</v>
      </c>
      <c r="T232" s="73"/>
      <c r="U232" s="73"/>
      <c r="V232" s="73">
        <v>16.795106740393365</v>
      </c>
      <c r="W232" s="73">
        <v>20.817900181018878</v>
      </c>
      <c r="X232" s="73">
        <v>13.862061388550545</v>
      </c>
      <c r="Y232" s="73">
        <v>1.9280606577344701</v>
      </c>
      <c r="AB232" s="14">
        <f t="shared" si="73"/>
        <v>5542.08</v>
      </c>
    </row>
    <row r="233" spans="1:28">
      <c r="B233" s="24" t="s">
        <v>108</v>
      </c>
      <c r="C233" s="14">
        <f t="shared" si="71"/>
        <v>188.40947435897434</v>
      </c>
      <c r="D233" s="14">
        <f t="shared" si="78"/>
        <v>77.36875078369907</v>
      </c>
      <c r="E233" s="14">
        <f t="shared" si="79"/>
        <v>14.056956826568264</v>
      </c>
      <c r="F233" s="14">
        <f t="shared" si="80"/>
        <v>20.97672811059908</v>
      </c>
      <c r="H233" s="24"/>
      <c r="I233" s="14">
        <f t="shared" si="72"/>
        <v>459.48066502463058</v>
      </c>
      <c r="J233" s="14">
        <f t="shared" si="75"/>
        <v>112.6981090909091</v>
      </c>
      <c r="K233" s="14">
        <f t="shared" si="76"/>
        <v>14.102362740899357</v>
      </c>
      <c r="L233" s="14">
        <f t="shared" si="77"/>
        <v>0</v>
      </c>
      <c r="P233" s="73">
        <v>5.8347571428571428</v>
      </c>
      <c r="Q233" s="73">
        <v>4.7664647335423194</v>
      </c>
      <c r="R233" s="73">
        <v>4.0286759225092252</v>
      </c>
      <c r="S233" s="73">
        <v>1.8111506912442399</v>
      </c>
      <c r="T233" s="73"/>
      <c r="U233" s="73"/>
      <c r="V233" s="73">
        <v>13.597992610837439</v>
      </c>
      <c r="W233" s="73">
        <v>15.246417045454542</v>
      </c>
      <c r="X233" s="73">
        <v>7.8359589935760185</v>
      </c>
      <c r="Y233" s="73">
        <v>1</v>
      </c>
      <c r="AB233" s="14">
        <f t="shared" si="73"/>
        <v>864.46699999999987</v>
      </c>
    </row>
    <row r="234" spans="1:28">
      <c r="B234" s="24" t="s">
        <v>109</v>
      </c>
      <c r="C234" s="14">
        <f t="shared" si="71"/>
        <v>0</v>
      </c>
      <c r="D234" s="14">
        <f t="shared" si="78"/>
        <v>28.309926923076922</v>
      </c>
      <c r="E234" s="14">
        <f t="shared" si="79"/>
        <v>0</v>
      </c>
      <c r="F234" s="14">
        <f t="shared" si="80"/>
        <v>14.674250000000001</v>
      </c>
      <c r="H234" s="24"/>
      <c r="I234" s="14">
        <f t="shared" si="72"/>
        <v>27.609004538577913</v>
      </c>
      <c r="J234" s="14">
        <f t="shared" si="75"/>
        <v>42.202793296089382</v>
      </c>
      <c r="K234" s="14">
        <f t="shared" si="76"/>
        <v>13.932814210526317</v>
      </c>
      <c r="L234" s="14">
        <v>0</v>
      </c>
      <c r="P234" s="73">
        <v>1</v>
      </c>
      <c r="Q234" s="73">
        <v>2.4469538461538463</v>
      </c>
      <c r="R234" s="73">
        <v>1</v>
      </c>
      <c r="S234" s="73">
        <v>1.467425</v>
      </c>
      <c r="T234" s="73"/>
      <c r="U234" s="73"/>
      <c r="V234" s="73">
        <v>6.5525506807866876</v>
      </c>
      <c r="W234" s="73">
        <v>6.8262972067039094</v>
      </c>
      <c r="X234" s="73">
        <v>2.8834563157894739</v>
      </c>
      <c r="Y234" s="73">
        <v>1</v>
      </c>
      <c r="AB234" s="14">
        <f t="shared" si="73"/>
        <v>0</v>
      </c>
    </row>
    <row r="235" spans="1:28">
      <c r="C235" s="79">
        <v>0.21800000700414529</v>
      </c>
      <c r="D235" s="80">
        <v>0.1</v>
      </c>
      <c r="E235" s="81">
        <f>D235/C235</f>
        <v>0.45871558159215331</v>
      </c>
      <c r="F235" s="80">
        <f>(1-D235)/(1-C235)</f>
        <v>1.1508951509731928</v>
      </c>
      <c r="P235" s="73"/>
      <c r="Q235" s="73"/>
      <c r="R235" s="73"/>
      <c r="S235" s="73"/>
      <c r="T235" s="73"/>
      <c r="U235" s="73"/>
      <c r="V235" s="73"/>
      <c r="W235" s="73"/>
      <c r="X235" s="73"/>
      <c r="Y235" s="73"/>
    </row>
    <row r="236" spans="1:28" ht="18">
      <c r="A236" s="82" t="s">
        <v>415</v>
      </c>
      <c r="B236" s="82"/>
      <c r="C236" s="82"/>
      <c r="D236" s="82"/>
      <c r="E236" s="82"/>
      <c r="F236" s="82"/>
      <c r="G236" s="82"/>
      <c r="H236" s="82"/>
      <c r="I236" s="82"/>
      <c r="J236" s="82"/>
      <c r="K236" s="82"/>
      <c r="L236" s="82"/>
      <c r="P236" s="73"/>
      <c r="Q236" s="73"/>
      <c r="R236" s="73"/>
      <c r="S236" s="73"/>
      <c r="T236" s="73"/>
      <c r="U236" s="73"/>
      <c r="V236" s="73"/>
      <c r="W236" s="73"/>
      <c r="X236" s="73"/>
      <c r="Y236" s="73"/>
    </row>
    <row r="237" spans="1:28" ht="18">
      <c r="A237" s="25" t="s">
        <v>120</v>
      </c>
      <c r="B237" s="26" t="s">
        <v>110</v>
      </c>
      <c r="C237" s="13" t="s">
        <v>121</v>
      </c>
      <c r="D237" s="27" t="s">
        <v>122</v>
      </c>
      <c r="E237" s="27" t="s">
        <v>113</v>
      </c>
      <c r="F237" s="27" t="s">
        <v>123</v>
      </c>
      <c r="G237" s="13"/>
      <c r="H237" s="26" t="s">
        <v>111</v>
      </c>
      <c r="I237" s="13" t="s">
        <v>121</v>
      </c>
      <c r="J237" s="27" t="s">
        <v>122</v>
      </c>
      <c r="K237" s="27" t="s">
        <v>113</v>
      </c>
      <c r="L237" s="27" t="s">
        <v>123</v>
      </c>
      <c r="O237" t="s">
        <v>110</v>
      </c>
      <c r="P237" s="73" t="s">
        <v>121</v>
      </c>
      <c r="Q237" s="73" t="s">
        <v>122</v>
      </c>
      <c r="R237" s="73" t="s">
        <v>113</v>
      </c>
      <c r="S237" s="73" t="s">
        <v>123</v>
      </c>
      <c r="T237" s="73"/>
      <c r="U237" s="73" t="s">
        <v>111</v>
      </c>
      <c r="V237" s="73" t="s">
        <v>121</v>
      </c>
      <c r="W237" s="73" t="s">
        <v>122</v>
      </c>
      <c r="X237" s="73" t="s">
        <v>113</v>
      </c>
      <c r="Y237" s="73" t="s">
        <v>123</v>
      </c>
    </row>
    <row r="238" spans="1:28">
      <c r="B238" t="s">
        <v>124</v>
      </c>
      <c r="C238" s="14">
        <f>P238/P285*C3*P261*$F$282</f>
        <v>15815160.141651765</v>
      </c>
      <c r="D238" s="14">
        <v>0</v>
      </c>
      <c r="E238" s="14">
        <v>0</v>
      </c>
      <c r="F238" s="14">
        <v>0</v>
      </c>
      <c r="I238" s="14">
        <f>V238/V285*I3*V261*$F$282</f>
        <v>15124590.135466529</v>
      </c>
      <c r="J238" s="14">
        <v>0</v>
      </c>
      <c r="K238" s="14">
        <v>0</v>
      </c>
      <c r="L238" s="14">
        <v>0</v>
      </c>
      <c r="P238" s="14">
        <v>17572400</v>
      </c>
      <c r="Q238" s="14">
        <v>0</v>
      </c>
      <c r="R238" s="14">
        <v>0</v>
      </c>
      <c r="S238" s="14">
        <v>0</v>
      </c>
      <c r="T238" s="14"/>
      <c r="U238" s="14"/>
      <c r="V238" s="14">
        <v>16805100</v>
      </c>
      <c r="W238" s="14">
        <v>0</v>
      </c>
      <c r="X238" s="14">
        <v>0</v>
      </c>
      <c r="Y238" s="14">
        <v>0</v>
      </c>
    </row>
    <row r="239" spans="1:28">
      <c r="B239" s="24" t="s">
        <v>125</v>
      </c>
      <c r="C239" s="14">
        <f t="shared" ref="C239:C258" si="81">P239/P286*C4*P262*$F$282</f>
        <v>13365360.188420093</v>
      </c>
      <c r="D239" s="14">
        <v>0</v>
      </c>
      <c r="E239" s="14">
        <v>0</v>
      </c>
      <c r="F239" s="14">
        <v>0</v>
      </c>
      <c r="H239" s="24"/>
      <c r="I239" s="14">
        <f t="shared" ref="I239:I258" si="82">V239/V286*I4*V262*$F$282</f>
        <v>12880080.147547074</v>
      </c>
      <c r="J239" s="14">
        <v>0</v>
      </c>
      <c r="K239" s="14">
        <v>0</v>
      </c>
      <c r="L239" s="14">
        <v>0</v>
      </c>
      <c r="P239" s="14">
        <v>14850400</v>
      </c>
      <c r="Q239" s="14">
        <v>0</v>
      </c>
      <c r="R239" s="14">
        <v>0</v>
      </c>
      <c r="S239" s="14">
        <v>0</v>
      </c>
      <c r="T239" s="14"/>
      <c r="U239" s="14"/>
      <c r="V239" s="14">
        <v>14311200</v>
      </c>
      <c r="W239" s="14">
        <v>0</v>
      </c>
      <c r="X239" s="14">
        <v>0</v>
      </c>
      <c r="Y239" s="14">
        <v>0</v>
      </c>
    </row>
    <row r="240" spans="1:28">
      <c r="B240" s="24" t="s">
        <v>91</v>
      </c>
      <c r="C240" s="14">
        <f t="shared" si="81"/>
        <v>8224875.1230901023</v>
      </c>
      <c r="D240" s="14">
        <f>Q240/Q287*D5*Q263*$F$282</f>
        <v>4569876.0155502409</v>
      </c>
      <c r="E240" s="14">
        <v>0</v>
      </c>
      <c r="F240" s="14">
        <v>0</v>
      </c>
      <c r="H240" s="24"/>
      <c r="I240" s="14">
        <f t="shared" si="82"/>
        <v>7213230.0977604929</v>
      </c>
      <c r="J240" s="14">
        <f>W240/W287*J5*W263*$F$282</f>
        <v>5194539.2628277512</v>
      </c>
      <c r="K240" s="14">
        <v>0</v>
      </c>
      <c r="L240" s="14">
        <v>0</v>
      </c>
      <c r="P240" s="14">
        <v>9138750</v>
      </c>
      <c r="Q240" s="14">
        <v>5077640</v>
      </c>
      <c r="R240" s="14">
        <v>0</v>
      </c>
      <c r="S240" s="14">
        <v>0</v>
      </c>
      <c r="T240" s="14"/>
      <c r="U240" s="14"/>
      <c r="V240" s="14">
        <v>8014700</v>
      </c>
      <c r="W240" s="14">
        <v>5771710</v>
      </c>
      <c r="X240" s="14">
        <v>0</v>
      </c>
      <c r="Y240" s="14">
        <v>0</v>
      </c>
    </row>
    <row r="241" spans="2:25">
      <c r="B241" s="24" t="s">
        <v>92</v>
      </c>
      <c r="C241" s="14">
        <f t="shared" si="81"/>
        <v>51086.159819093336</v>
      </c>
      <c r="D241" s="14">
        <f t="shared" ref="D241:D258" si="83">Q241/Q288*D6*Q264*$F$282</f>
        <v>3866949.0094469939</v>
      </c>
      <c r="E241" s="14">
        <f>R241/R288*E6*R264*$F$282</f>
        <v>8128700.9680527337</v>
      </c>
      <c r="F241" s="14">
        <v>0</v>
      </c>
      <c r="H241" s="24"/>
      <c r="I241" s="14">
        <f t="shared" si="82"/>
        <v>157486.50220573356</v>
      </c>
      <c r="J241" s="14">
        <f t="shared" ref="J241:J258" si="84">W241/W288*J6*W264*$F$282</f>
        <v>3797504.9593526162</v>
      </c>
      <c r="K241" s="14">
        <f>X241/X288*K6*X264*$F$282</f>
        <v>8185094.7190772537</v>
      </c>
      <c r="L241" s="14">
        <v>0</v>
      </c>
      <c r="P241" s="14">
        <v>56762.400000000001</v>
      </c>
      <c r="Q241" s="14">
        <v>4296610</v>
      </c>
      <c r="R241" s="14">
        <v>9031890</v>
      </c>
      <c r="S241" s="14">
        <v>0</v>
      </c>
      <c r="T241" s="14"/>
      <c r="U241" s="14"/>
      <c r="V241" s="14">
        <v>174985</v>
      </c>
      <c r="W241" s="14">
        <v>4219450</v>
      </c>
      <c r="X241" s="14">
        <v>9094550</v>
      </c>
      <c r="Y241" s="14">
        <v>0</v>
      </c>
    </row>
    <row r="242" spans="2:25">
      <c r="B242" s="24" t="s">
        <v>93</v>
      </c>
      <c r="C242" s="14">
        <f t="shared" si="81"/>
        <v>0</v>
      </c>
      <c r="D242" s="14">
        <f t="shared" si="83"/>
        <v>3142881.0864329911</v>
      </c>
      <c r="E242" s="14">
        <f t="shared" ref="E242:E258" si="85">R242/R289*E7*R265*$F$282</f>
        <v>8128700.8065264262</v>
      </c>
      <c r="F242" s="14">
        <f>S242/S289*F7*S265*$F$282</f>
        <v>982575.13858765794</v>
      </c>
      <c r="H242" s="24"/>
      <c r="I242" s="14">
        <f t="shared" si="82"/>
        <v>458216.10442710324</v>
      </c>
      <c r="J242" s="14">
        <f t="shared" si="84"/>
        <v>3180581.8862976492</v>
      </c>
      <c r="K242" s="14">
        <f t="shared" ref="K242:K258" si="86">X242/X289*K7*X265*$F$282</f>
        <v>8185094.7034730148</v>
      </c>
      <c r="L242" s="14">
        <f>Y242/Y289*L7*Y265*$F$282</f>
        <v>853321.53730203619</v>
      </c>
      <c r="P242" s="14">
        <v>0</v>
      </c>
      <c r="Q242" s="14">
        <v>3492090</v>
      </c>
      <c r="R242" s="14">
        <v>9031890</v>
      </c>
      <c r="S242" s="14">
        <v>1091750</v>
      </c>
      <c r="T242" s="14"/>
      <c r="U242" s="14"/>
      <c r="V242" s="14">
        <v>509129</v>
      </c>
      <c r="W242" s="14">
        <v>3533980</v>
      </c>
      <c r="X242" s="14">
        <v>9094550</v>
      </c>
      <c r="Y242" s="14">
        <v>948135</v>
      </c>
    </row>
    <row r="243" spans="2:25">
      <c r="B243" s="24" t="s">
        <v>94</v>
      </c>
      <c r="C243" s="14">
        <f t="shared" si="81"/>
        <v>0</v>
      </c>
      <c r="D243" s="14">
        <f t="shared" si="83"/>
        <v>3522239.902319924</v>
      </c>
      <c r="E243" s="14">
        <f t="shared" si="85"/>
        <v>7548020.7165162861</v>
      </c>
      <c r="F243" s="14">
        <f t="shared" ref="F243:F257" si="87">S243/S290*F8*S266*$F$282</f>
        <v>1147787.7302886248</v>
      </c>
      <c r="H243" s="24"/>
      <c r="I243" s="14">
        <f t="shared" si="82"/>
        <v>325658.70668920031</v>
      </c>
      <c r="J243" s="14">
        <f t="shared" si="84"/>
        <v>3663819.1569460859</v>
      </c>
      <c r="K243" s="14">
        <f t="shared" si="86"/>
        <v>8573886.3998445831</v>
      </c>
      <c r="L243" s="14">
        <f t="shared" ref="L243:L257" si="88">Y243/Y290*L8*Y266*$F$282</f>
        <v>610902.81384001346</v>
      </c>
      <c r="P243" s="14">
        <v>0</v>
      </c>
      <c r="Q243" s="14">
        <v>3913600</v>
      </c>
      <c r="R243" s="14">
        <v>8386690</v>
      </c>
      <c r="S243" s="14">
        <v>1275320</v>
      </c>
      <c r="T243" s="14"/>
      <c r="U243" s="14"/>
      <c r="V243" s="14">
        <v>361843</v>
      </c>
      <c r="W243" s="14">
        <v>4070910</v>
      </c>
      <c r="X243" s="14">
        <v>9526540</v>
      </c>
      <c r="Y243" s="14">
        <v>678781</v>
      </c>
    </row>
    <row r="244" spans="2:25">
      <c r="B244" s="24" t="s">
        <v>95</v>
      </c>
      <c r="C244" s="14">
        <f t="shared" si="81"/>
        <v>129398.40365206957</v>
      </c>
      <c r="D244" s="14">
        <f t="shared" si="83"/>
        <v>2996811.0595698343</v>
      </c>
      <c r="E244" s="14">
        <f t="shared" si="85"/>
        <v>5599034.9142824467</v>
      </c>
      <c r="F244" s="14">
        <f t="shared" si="87"/>
        <v>1290671.8377369547</v>
      </c>
      <c r="H244" s="24"/>
      <c r="I244" s="14">
        <f t="shared" si="82"/>
        <v>517210.21133021766</v>
      </c>
      <c r="J244" s="14">
        <f t="shared" si="84"/>
        <v>3107583.1123915212</v>
      </c>
      <c r="K244" s="14">
        <f t="shared" si="86"/>
        <v>6613145.7909686407</v>
      </c>
      <c r="L244" s="14">
        <f t="shared" si="88"/>
        <v>678829.69061507843</v>
      </c>
      <c r="P244" s="14">
        <v>143776</v>
      </c>
      <c r="Q244" s="14">
        <v>3329790</v>
      </c>
      <c r="R244" s="14">
        <v>6221150</v>
      </c>
      <c r="S244" s="14">
        <v>1434080</v>
      </c>
      <c r="T244" s="14"/>
      <c r="U244" s="14"/>
      <c r="V244" s="14">
        <v>574678</v>
      </c>
      <c r="W244" s="14">
        <v>3452870</v>
      </c>
      <c r="X244" s="14">
        <v>7347940</v>
      </c>
      <c r="Y244" s="14">
        <v>754255</v>
      </c>
    </row>
    <row r="245" spans="2:25">
      <c r="B245" s="24" t="s">
        <v>96</v>
      </c>
      <c r="C245" s="14">
        <f t="shared" si="81"/>
        <v>359139.60255025339</v>
      </c>
      <c r="D245" s="14">
        <f t="shared" si="83"/>
        <v>3756762.2004742003</v>
      </c>
      <c r="E245" s="14">
        <f t="shared" si="85"/>
        <v>5823837.288662998</v>
      </c>
      <c r="F245" s="14">
        <f t="shared" si="87"/>
        <v>1325979.0409304062</v>
      </c>
      <c r="H245" s="24"/>
      <c r="I245" s="14">
        <f t="shared" si="82"/>
        <v>807608.71164046181</v>
      </c>
      <c r="J245" s="14">
        <f t="shared" si="84"/>
        <v>3943143.1573962043</v>
      </c>
      <c r="K245" s="14">
        <f t="shared" si="86"/>
        <v>6924942.1465756269</v>
      </c>
      <c r="L245" s="14">
        <f t="shared" si="88"/>
        <v>657878.66136888531</v>
      </c>
      <c r="P245" s="14">
        <v>399044</v>
      </c>
      <c r="Q245" s="14">
        <v>4174180</v>
      </c>
      <c r="R245" s="14">
        <v>6470930</v>
      </c>
      <c r="S245" s="14">
        <v>1473310</v>
      </c>
      <c r="T245" s="14"/>
      <c r="U245" s="14"/>
      <c r="V245" s="14">
        <v>897343</v>
      </c>
      <c r="W245" s="14">
        <v>4381270</v>
      </c>
      <c r="X245" s="14">
        <v>7694380</v>
      </c>
      <c r="Y245" s="14">
        <v>730976</v>
      </c>
    </row>
    <row r="246" spans="2:25">
      <c r="B246" s="24" t="s">
        <v>97</v>
      </c>
      <c r="C246" s="14">
        <f t="shared" si="81"/>
        <v>568292.40574337414</v>
      </c>
      <c r="D246" s="14">
        <f t="shared" si="83"/>
        <v>3814389.3026684751</v>
      </c>
      <c r="E246" s="14">
        <f t="shared" si="85"/>
        <v>5441508.1826840499</v>
      </c>
      <c r="F246" s="14">
        <f t="shared" si="87"/>
        <v>1238912.7397666299</v>
      </c>
      <c r="H246" s="24"/>
      <c r="I246" s="14">
        <f t="shared" si="82"/>
        <v>832566.59117248538</v>
      </c>
      <c r="J246" s="14">
        <f t="shared" si="84"/>
        <v>3968442.4621523982</v>
      </c>
      <c r="K246" s="14">
        <f t="shared" si="86"/>
        <v>6393275.9175550826</v>
      </c>
      <c r="L246" s="14">
        <f t="shared" si="88"/>
        <v>573496.38106944959</v>
      </c>
      <c r="P246" s="14">
        <v>631436</v>
      </c>
      <c r="Q246" s="14">
        <v>4238210</v>
      </c>
      <c r="R246" s="14">
        <v>6046120</v>
      </c>
      <c r="S246" s="14">
        <v>1376570</v>
      </c>
      <c r="T246" s="14"/>
      <c r="U246" s="14"/>
      <c r="V246" s="14">
        <v>925074</v>
      </c>
      <c r="W246" s="14">
        <v>4409380</v>
      </c>
      <c r="X246" s="14">
        <v>7103640</v>
      </c>
      <c r="Y246" s="14">
        <v>637218</v>
      </c>
    </row>
    <row r="247" spans="2:25">
      <c r="B247" s="24" t="s">
        <v>98</v>
      </c>
      <c r="C247" s="14">
        <f t="shared" si="81"/>
        <v>929934.01910467271</v>
      </c>
      <c r="D247" s="14">
        <f t="shared" si="83"/>
        <v>3538557.1054770006</v>
      </c>
      <c r="E247" s="14">
        <f t="shared" si="85"/>
        <v>4734917.8581377231</v>
      </c>
      <c r="F247" s="14">
        <f t="shared" si="87"/>
        <v>1036583.7811637417</v>
      </c>
      <c r="H247" s="24"/>
      <c r="I247" s="14">
        <f t="shared" si="82"/>
        <v>1304819.9971694462</v>
      </c>
      <c r="J247" s="14">
        <f t="shared" si="84"/>
        <v>3652586.638603447</v>
      </c>
      <c r="K247" s="14">
        <f t="shared" si="86"/>
        <v>5395760.8742028773</v>
      </c>
      <c r="L247" s="14">
        <f t="shared" si="88"/>
        <v>426406.49005873117</v>
      </c>
      <c r="P247" s="14">
        <v>1033260</v>
      </c>
      <c r="Q247" s="14">
        <v>3931730</v>
      </c>
      <c r="R247" s="14">
        <v>5261020</v>
      </c>
      <c r="S247" s="14">
        <v>1151760</v>
      </c>
      <c r="T247" s="14"/>
      <c r="U247" s="14"/>
      <c r="V247" s="14">
        <v>1449800</v>
      </c>
      <c r="W247" s="14">
        <v>4058430</v>
      </c>
      <c r="X247" s="14">
        <v>5995290</v>
      </c>
      <c r="Y247" s="14">
        <v>473785</v>
      </c>
    </row>
    <row r="248" spans="2:25">
      <c r="B248" s="24" t="s">
        <v>99</v>
      </c>
      <c r="C248" s="14">
        <f t="shared" si="81"/>
        <v>777479.38722624723</v>
      </c>
      <c r="D248" s="14">
        <f t="shared" si="83"/>
        <v>3215888.9666768294</v>
      </c>
      <c r="E248" s="14">
        <f t="shared" si="85"/>
        <v>3984749.6706205015</v>
      </c>
      <c r="F248" s="14">
        <f t="shared" si="87"/>
        <v>801633.09455753374</v>
      </c>
      <c r="H248" s="24"/>
      <c r="I248" s="14">
        <f t="shared" si="82"/>
        <v>932616.01715128787</v>
      </c>
      <c r="J248" s="14">
        <f t="shared" si="84"/>
        <v>3568707.6592675457</v>
      </c>
      <c r="K248" s="14">
        <f t="shared" si="86"/>
        <v>4859964.8414154928</v>
      </c>
      <c r="L248" s="14">
        <f t="shared" si="88"/>
        <v>348403.80901224981</v>
      </c>
      <c r="P248" s="14">
        <v>863866</v>
      </c>
      <c r="Q248" s="14">
        <v>3573210</v>
      </c>
      <c r="R248" s="14">
        <v>4427500</v>
      </c>
      <c r="S248" s="14">
        <v>890704</v>
      </c>
      <c r="T248" s="14"/>
      <c r="U248" s="14"/>
      <c r="V248" s="14">
        <v>1036240</v>
      </c>
      <c r="W248" s="14">
        <v>3965230</v>
      </c>
      <c r="X248" s="14">
        <v>5399960</v>
      </c>
      <c r="Y248" s="14">
        <v>387115</v>
      </c>
    </row>
    <row r="249" spans="2:25">
      <c r="B249" s="24" t="s">
        <v>100</v>
      </c>
      <c r="C249" s="14">
        <f t="shared" si="81"/>
        <v>869265.8966441995</v>
      </c>
      <c r="D249" s="14">
        <f t="shared" si="83"/>
        <v>2717199.2203753563</v>
      </c>
      <c r="E249" s="14">
        <f t="shared" si="85"/>
        <v>3168836.5922227758</v>
      </c>
      <c r="F249" s="14">
        <f t="shared" si="87"/>
        <v>581905.88678876462</v>
      </c>
      <c r="H249" s="24"/>
      <c r="I249" s="14">
        <f t="shared" si="82"/>
        <v>965978.99359627732</v>
      </c>
      <c r="J249" s="14">
        <f t="shared" si="84"/>
        <v>3208779.1261624764</v>
      </c>
      <c r="K249" s="14">
        <f t="shared" si="86"/>
        <v>4093785.5535079674</v>
      </c>
      <c r="L249" s="14">
        <f t="shared" si="88"/>
        <v>262281.8377628189</v>
      </c>
      <c r="P249" s="14">
        <v>965851</v>
      </c>
      <c r="Q249" s="14">
        <v>3019110</v>
      </c>
      <c r="R249" s="14">
        <v>3520930</v>
      </c>
      <c r="S249" s="14">
        <v>646562</v>
      </c>
      <c r="T249" s="14"/>
      <c r="U249" s="14"/>
      <c r="V249" s="14">
        <v>1073310</v>
      </c>
      <c r="W249" s="14">
        <v>3565310</v>
      </c>
      <c r="X249" s="14">
        <v>4548650</v>
      </c>
      <c r="Y249" s="14">
        <v>291424</v>
      </c>
    </row>
    <row r="250" spans="2:25">
      <c r="B250" s="24" t="s">
        <v>101</v>
      </c>
      <c r="C250" s="14">
        <f t="shared" si="81"/>
        <v>814409.06062963768</v>
      </c>
      <c r="D250" s="14">
        <f t="shared" si="83"/>
        <v>2405402.9636351434</v>
      </c>
      <c r="E250" s="14">
        <f t="shared" si="85"/>
        <v>2652461.4631711254</v>
      </c>
      <c r="F250" s="14">
        <f t="shared" si="87"/>
        <v>444457.48609394225</v>
      </c>
      <c r="H250" s="24"/>
      <c r="I250" s="14">
        <f t="shared" si="82"/>
        <v>884776.51743212121</v>
      </c>
      <c r="J250" s="14">
        <f t="shared" si="84"/>
        <v>2883501.7401331235</v>
      </c>
      <c r="K250" s="14">
        <f t="shared" si="86"/>
        <v>3405312.8863690393</v>
      </c>
      <c r="L250" s="14">
        <f t="shared" si="88"/>
        <v>194428.1780686297</v>
      </c>
      <c r="P250" s="14">
        <v>904899</v>
      </c>
      <c r="Q250" s="14">
        <v>2672670</v>
      </c>
      <c r="R250" s="14">
        <v>2947180</v>
      </c>
      <c r="S250" s="14">
        <v>493842</v>
      </c>
      <c r="T250" s="14"/>
      <c r="U250" s="14"/>
      <c r="V250" s="14">
        <v>983085</v>
      </c>
      <c r="W250" s="14">
        <v>3203890</v>
      </c>
      <c r="X250" s="14">
        <v>3783680</v>
      </c>
      <c r="Y250" s="14">
        <v>216031</v>
      </c>
    </row>
    <row r="251" spans="2:25">
      <c r="B251" s="24" t="s">
        <v>102</v>
      </c>
      <c r="C251" s="14">
        <f t="shared" si="81"/>
        <v>834185.53572616051</v>
      </c>
      <c r="D251" s="14">
        <f t="shared" si="83"/>
        <v>1931372.7617355695</v>
      </c>
      <c r="E251" s="14">
        <f t="shared" si="85"/>
        <v>2081070.1047783257</v>
      </c>
      <c r="F251" s="14">
        <f t="shared" si="87"/>
        <v>315274.68321655504</v>
      </c>
      <c r="H251" s="24"/>
      <c r="I251" s="14">
        <f t="shared" si="82"/>
        <v>896671.69297912135</v>
      </c>
      <c r="J251" s="14">
        <f t="shared" si="84"/>
        <v>2440999.1863066684</v>
      </c>
      <c r="K251" s="14">
        <f t="shared" si="86"/>
        <v>2693644.4785466129</v>
      </c>
      <c r="L251" s="14">
        <f t="shared" si="88"/>
        <v>138245.21172204826</v>
      </c>
      <c r="P251" s="14">
        <v>926873</v>
      </c>
      <c r="Q251" s="14">
        <v>2145970</v>
      </c>
      <c r="R251" s="14">
        <v>2312300</v>
      </c>
      <c r="S251" s="14">
        <v>350305</v>
      </c>
      <c r="T251" s="14"/>
      <c r="U251" s="14"/>
      <c r="V251" s="14">
        <v>996302</v>
      </c>
      <c r="W251" s="14">
        <v>2712220</v>
      </c>
      <c r="X251" s="14">
        <v>2992940</v>
      </c>
      <c r="Y251" s="14">
        <v>153606</v>
      </c>
    </row>
    <row r="252" spans="2:25">
      <c r="B252" s="24" t="s">
        <v>103</v>
      </c>
      <c r="C252" s="14">
        <f t="shared" si="81"/>
        <v>700822.23235688533</v>
      </c>
      <c r="D252" s="14">
        <f t="shared" si="83"/>
        <v>1365272.0629508044</v>
      </c>
      <c r="E252" s="14">
        <f t="shared" si="85"/>
        <v>1505836.8508958202</v>
      </c>
      <c r="F252" s="14">
        <f t="shared" si="87"/>
        <v>204141.61275357174</v>
      </c>
      <c r="H252" s="24"/>
      <c r="I252" s="14">
        <f t="shared" si="82"/>
        <v>788686.21832636208</v>
      </c>
      <c r="J252" s="14">
        <f t="shared" si="84"/>
        <v>1789134.0899908061</v>
      </c>
      <c r="K252" s="14">
        <f t="shared" si="86"/>
        <v>1935719.2957678512</v>
      </c>
      <c r="L252" s="14">
        <f t="shared" si="88"/>
        <v>83947.991004822776</v>
      </c>
      <c r="P252" s="14">
        <v>778691</v>
      </c>
      <c r="Q252" s="14">
        <v>1516970</v>
      </c>
      <c r="R252" s="14">
        <v>1673150</v>
      </c>
      <c r="S252" s="14">
        <v>226824</v>
      </c>
      <c r="T252" s="14"/>
      <c r="U252" s="14"/>
      <c r="V252" s="14">
        <v>876318</v>
      </c>
      <c r="W252" s="14">
        <v>1987930</v>
      </c>
      <c r="X252" s="14">
        <v>2150800</v>
      </c>
      <c r="Y252" s="14">
        <v>93275</v>
      </c>
    </row>
    <row r="253" spans="2:25">
      <c r="B253" s="24" t="s">
        <v>104</v>
      </c>
      <c r="C253" s="14">
        <f t="shared" si="81"/>
        <v>506364.6897988795</v>
      </c>
      <c r="D253" s="14">
        <f t="shared" si="83"/>
        <v>818019.33929374372</v>
      </c>
      <c r="E253" s="14">
        <f t="shared" si="85"/>
        <v>873910.37927637354</v>
      </c>
      <c r="F253" s="14">
        <f t="shared" si="87"/>
        <v>105986.38236197783</v>
      </c>
      <c r="H253" s="24"/>
      <c r="I253" s="14">
        <f t="shared" si="82"/>
        <v>599994.41622921545</v>
      </c>
      <c r="J253" s="14">
        <f t="shared" si="84"/>
        <v>1138797.984614165</v>
      </c>
      <c r="K253" s="14">
        <f t="shared" si="86"/>
        <v>1150840.9770497971</v>
      </c>
      <c r="L253" s="14">
        <f t="shared" si="88"/>
        <v>44946.880825932065</v>
      </c>
      <c r="P253" s="14">
        <v>562627</v>
      </c>
      <c r="Q253" s="14">
        <v>908908</v>
      </c>
      <c r="R253" s="14">
        <v>971010</v>
      </c>
      <c r="S253" s="14">
        <v>117762</v>
      </c>
      <c r="T253" s="14"/>
      <c r="U253" s="14"/>
      <c r="V253" s="14">
        <v>666661</v>
      </c>
      <c r="W253" s="14">
        <v>1265330</v>
      </c>
      <c r="X253" s="14">
        <v>1278710</v>
      </c>
      <c r="Y253" s="14">
        <v>49940</v>
      </c>
    </row>
    <row r="254" spans="2:25">
      <c r="B254" s="24" t="s">
        <v>105</v>
      </c>
      <c r="C254" s="14">
        <f t="shared" si="81"/>
        <v>313963.71082905069</v>
      </c>
      <c r="D254" s="14">
        <f t="shared" si="83"/>
        <v>368194.93348233378</v>
      </c>
      <c r="E254" s="14">
        <f t="shared" si="85"/>
        <v>345212.96670961095</v>
      </c>
      <c r="F254" s="14">
        <f t="shared" si="87"/>
        <v>37622.720472156841</v>
      </c>
      <c r="H254" s="24"/>
      <c r="I254" s="14">
        <f t="shared" si="82"/>
        <v>441601.97330462217</v>
      </c>
      <c r="J254" s="14">
        <f t="shared" si="84"/>
        <v>551457.42411025893</v>
      </c>
      <c r="K254" s="14">
        <f t="shared" si="86"/>
        <v>515502.93960769067</v>
      </c>
      <c r="L254" s="14">
        <f t="shared" si="88"/>
        <v>18414.092862920301</v>
      </c>
      <c r="P254" s="14">
        <v>348849</v>
      </c>
      <c r="Q254" s="14">
        <v>409105</v>
      </c>
      <c r="R254" s="14">
        <v>383571</v>
      </c>
      <c r="S254" s="14">
        <v>41804.6</v>
      </c>
      <c r="T254" s="14"/>
      <c r="U254" s="14"/>
      <c r="V254" s="14">
        <v>490670</v>
      </c>
      <c r="W254" s="14">
        <v>612731</v>
      </c>
      <c r="X254" s="14">
        <v>572779</v>
      </c>
      <c r="Y254" s="14">
        <v>20459.3</v>
      </c>
    </row>
    <row r="255" spans="2:25">
      <c r="B255" s="24" t="s">
        <v>106</v>
      </c>
      <c r="C255" s="14">
        <f t="shared" si="81"/>
        <v>101241.13027973201</v>
      </c>
      <c r="D255" s="14">
        <f t="shared" si="83"/>
        <v>129837.64283159393</v>
      </c>
      <c r="E255" s="14">
        <f t="shared" si="85"/>
        <v>121212.17095038531</v>
      </c>
      <c r="F255" s="14">
        <f t="shared" si="87"/>
        <v>11234.777951606235</v>
      </c>
      <c r="H255" s="24"/>
      <c r="I255" s="14">
        <f t="shared" si="82"/>
        <v>156285.83427813684</v>
      </c>
      <c r="J255" s="14">
        <f t="shared" si="84"/>
        <v>230601.6433401122</v>
      </c>
      <c r="K255" s="14">
        <f t="shared" si="86"/>
        <v>199508.93094344239</v>
      </c>
      <c r="L255" s="14">
        <f t="shared" si="88"/>
        <v>6162.4530669508877</v>
      </c>
      <c r="P255" s="14">
        <v>112491</v>
      </c>
      <c r="Q255" s="14">
        <v>144262</v>
      </c>
      <c r="R255" s="14">
        <v>134677</v>
      </c>
      <c r="S255" s="14">
        <v>12485</v>
      </c>
      <c r="T255" s="14"/>
      <c r="U255" s="14"/>
      <c r="V255" s="14">
        <v>173650</v>
      </c>
      <c r="W255" s="14">
        <v>256224</v>
      </c>
      <c r="X255" s="14">
        <v>221669</v>
      </c>
      <c r="Y255" s="14">
        <v>6846.61</v>
      </c>
    </row>
    <row r="256" spans="2:25">
      <c r="B256" s="24" t="s">
        <v>107</v>
      </c>
      <c r="C256" s="14">
        <f t="shared" si="81"/>
        <v>22207.221564917581</v>
      </c>
      <c r="D256" s="14">
        <f t="shared" si="83"/>
        <v>29072.665837720535</v>
      </c>
      <c r="E256" s="14">
        <f t="shared" si="85"/>
        <v>27183.362258163874</v>
      </c>
      <c r="F256" s="14">
        <f t="shared" si="87"/>
        <v>2101.6160623850151</v>
      </c>
      <c r="H256" s="24"/>
      <c r="I256" s="14">
        <f t="shared" si="82"/>
        <v>39820.483445663223</v>
      </c>
      <c r="J256" s="14">
        <f t="shared" si="84"/>
        <v>62562.004691310147</v>
      </c>
      <c r="K256" s="14">
        <f t="shared" si="86"/>
        <v>48279.026010983835</v>
      </c>
      <c r="L256" s="14">
        <f t="shared" si="88"/>
        <v>1304.8382976024907</v>
      </c>
      <c r="P256" s="14">
        <v>24675.599999999999</v>
      </c>
      <c r="Q256" s="14">
        <v>32299.9</v>
      </c>
      <c r="R256" s="14">
        <v>30205.599999999999</v>
      </c>
      <c r="S256" s="14">
        <v>2335.9</v>
      </c>
      <c r="T256" s="14"/>
      <c r="U256" s="14"/>
      <c r="V256" s="14">
        <v>44246.7</v>
      </c>
      <c r="W256" s="14">
        <v>69513.2</v>
      </c>
      <c r="X256" s="14">
        <v>53645.2</v>
      </c>
      <c r="Y256" s="14">
        <v>1449.87</v>
      </c>
    </row>
    <row r="257" spans="1:28">
      <c r="B257" s="24" t="s">
        <v>108</v>
      </c>
      <c r="C257" s="14">
        <f t="shared" si="81"/>
        <v>3643.0069183267697</v>
      </c>
      <c r="D257" s="14">
        <f t="shared" si="83"/>
        <v>3770.2937124648297</v>
      </c>
      <c r="E257" s="14">
        <f t="shared" si="85"/>
        <v>3480.9687649574284</v>
      </c>
      <c r="F257" s="14">
        <f t="shared" si="87"/>
        <v>217.87267275887521</v>
      </c>
      <c r="H257" s="24"/>
      <c r="I257" s="14">
        <f t="shared" si="82"/>
        <v>6724.771503291794</v>
      </c>
      <c r="J257" s="14">
        <f t="shared" si="84"/>
        <v>10364.149825448978</v>
      </c>
      <c r="K257" s="14">
        <f t="shared" si="86"/>
        <v>6303.5886559435094</v>
      </c>
      <c r="L257" s="14">
        <f t="shared" si="88"/>
        <v>144.7552962347805</v>
      </c>
      <c r="P257" s="14">
        <v>4047.52</v>
      </c>
      <c r="Q257" s="14">
        <v>4188.51</v>
      </c>
      <c r="R257" s="14">
        <v>3866.32</v>
      </c>
      <c r="S257" s="14">
        <v>241.64500000000001</v>
      </c>
      <c r="T257" s="14"/>
      <c r="U257" s="14"/>
      <c r="V257" s="14">
        <v>7471.78</v>
      </c>
      <c r="W257" s="14">
        <v>11518.4</v>
      </c>
      <c r="X257" s="14">
        <v>7007.71</v>
      </c>
      <c r="Y257" s="14">
        <v>161.09700000000001</v>
      </c>
    </row>
    <row r="258" spans="1:28">
      <c r="B258" s="24" t="s">
        <v>109</v>
      </c>
      <c r="C258" s="14">
        <f t="shared" si="81"/>
        <v>953.71703349550671</v>
      </c>
      <c r="D258" s="14">
        <f t="shared" si="83"/>
        <v>289.51732061397576</v>
      </c>
      <c r="E258" s="14">
        <f t="shared" si="85"/>
        <v>144.95359116112951</v>
      </c>
      <c r="F258" s="14">
        <f>S258/S305*F23*S281*$F$282</f>
        <v>0</v>
      </c>
      <c r="H258" s="24"/>
      <c r="I258" s="14">
        <f t="shared" si="82"/>
        <v>1689.7373135005173</v>
      </c>
      <c r="J258" s="14">
        <f t="shared" si="84"/>
        <v>870.05873130655664</v>
      </c>
      <c r="K258" s="14">
        <f t="shared" si="86"/>
        <v>436.19053426084906</v>
      </c>
      <c r="L258" s="14">
        <v>0</v>
      </c>
      <c r="P258" s="14">
        <v>1059.71</v>
      </c>
      <c r="Q258" s="14">
        <v>322.19299999999998</v>
      </c>
      <c r="R258" s="14">
        <v>161.09700000000001</v>
      </c>
      <c r="S258" s="14">
        <v>0</v>
      </c>
      <c r="T258" s="14"/>
      <c r="U258" s="14"/>
      <c r="V258" s="14">
        <v>1877.13</v>
      </c>
      <c r="W258" s="14">
        <v>966.58</v>
      </c>
      <c r="X258" s="14">
        <v>483.29</v>
      </c>
      <c r="Y258" s="14">
        <v>0</v>
      </c>
    </row>
    <row r="259" spans="1:28">
      <c r="P259" s="73"/>
      <c r="Q259" s="73"/>
      <c r="R259" s="73"/>
      <c r="S259" s="73"/>
      <c r="T259" s="73"/>
      <c r="U259" s="73"/>
      <c r="V259" s="73"/>
      <c r="W259" s="73"/>
      <c r="X259" s="73"/>
      <c r="Y259" s="73"/>
    </row>
    <row r="260" spans="1:28" ht="18">
      <c r="A260" s="25" t="s">
        <v>126</v>
      </c>
      <c r="B260" s="26" t="s">
        <v>110</v>
      </c>
      <c r="C260" s="13" t="s">
        <v>121</v>
      </c>
      <c r="D260" s="27" t="s">
        <v>122</v>
      </c>
      <c r="E260" s="27" t="s">
        <v>113</v>
      </c>
      <c r="F260" s="27" t="s">
        <v>123</v>
      </c>
      <c r="H260" s="26" t="s">
        <v>111</v>
      </c>
      <c r="I260" s="13" t="s">
        <v>121</v>
      </c>
      <c r="J260" s="27" t="s">
        <v>122</v>
      </c>
      <c r="K260" s="27" t="s">
        <v>113</v>
      </c>
      <c r="L260" s="27" t="s">
        <v>123</v>
      </c>
      <c r="P260" s="73"/>
      <c r="Q260" s="73"/>
      <c r="R260" s="73"/>
      <c r="S260" s="73"/>
      <c r="T260" s="73"/>
      <c r="U260" s="73"/>
      <c r="V260" s="73"/>
      <c r="W260" s="73"/>
      <c r="X260" s="73"/>
      <c r="Y260" s="73"/>
    </row>
    <row r="261" spans="1:28">
      <c r="B261" t="s">
        <v>124</v>
      </c>
      <c r="C261" s="14">
        <f>P238/P285*C26*P261*$E$282</f>
        <v>1757239.9435414502</v>
      </c>
      <c r="D261" s="14">
        <v>0</v>
      </c>
      <c r="E261" s="14">
        <v>0</v>
      </c>
      <c r="F261" s="14">
        <v>0</v>
      </c>
      <c r="I261" s="14">
        <f>V238/V285*I26*V261*$E$282</f>
        <v>1680509.9460067165</v>
      </c>
      <c r="J261" s="14">
        <v>0</v>
      </c>
      <c r="K261" s="14">
        <v>0</v>
      </c>
      <c r="L261" s="14">
        <v>0</v>
      </c>
      <c r="P261" s="73">
        <v>0.74831711423520497</v>
      </c>
      <c r="Q261" s="73">
        <v>0</v>
      </c>
      <c r="R261" s="73">
        <v>0</v>
      </c>
      <c r="S261" s="73">
        <v>0</v>
      </c>
      <c r="T261" s="73"/>
      <c r="U261" s="73"/>
      <c r="V261" s="73">
        <v>0.72348442553191494</v>
      </c>
      <c r="W261" s="73">
        <v>0</v>
      </c>
      <c r="X261" s="73">
        <v>0</v>
      </c>
      <c r="Y261" s="73">
        <v>0</v>
      </c>
      <c r="AB261" s="14">
        <f>SUM(C238,C261)</f>
        <v>17572400.085193213</v>
      </c>
    </row>
    <row r="262" spans="1:28">
      <c r="B262" s="24" t="s">
        <v>125</v>
      </c>
      <c r="C262" s="14">
        <f t="shared" ref="C262:C281" si="89">P239/P286*C27*P262*$E$282</f>
        <v>1485039.9249008619</v>
      </c>
      <c r="D262" s="14">
        <v>0</v>
      </c>
      <c r="E262" s="14">
        <v>0</v>
      </c>
      <c r="F262" s="14">
        <v>0</v>
      </c>
      <c r="H262" s="24"/>
      <c r="I262" s="14">
        <f t="shared" ref="I262:I281" si="90">V239/V286*I27*V262*$E$282</f>
        <v>1431119.9411917396</v>
      </c>
      <c r="J262" s="14">
        <v>0</v>
      </c>
      <c r="K262" s="14">
        <v>0</v>
      </c>
      <c r="L262" s="14">
        <v>0</v>
      </c>
      <c r="P262" s="73">
        <v>0.67711408490024338</v>
      </c>
      <c r="Q262" s="73">
        <v>0</v>
      </c>
      <c r="R262" s="73">
        <v>0</v>
      </c>
      <c r="S262" s="73">
        <v>0</v>
      </c>
      <c r="T262" s="73"/>
      <c r="U262" s="73"/>
      <c r="V262" s="73">
        <v>0.65371506955313652</v>
      </c>
      <c r="W262" s="73">
        <v>0</v>
      </c>
      <c r="X262" s="73">
        <v>0</v>
      </c>
      <c r="Y262" s="73">
        <v>0</v>
      </c>
      <c r="AB262" s="14">
        <f t="shared" ref="AB262:AB281" si="91">SUM(C239,C262)</f>
        <v>14850400.113320954</v>
      </c>
    </row>
    <row r="263" spans="1:28">
      <c r="B263" s="24" t="s">
        <v>91</v>
      </c>
      <c r="C263" s="14">
        <f t="shared" si="89"/>
        <v>913874.95093962527</v>
      </c>
      <c r="D263" s="14">
        <f>Q240/Q287*D28*Q263*$E$282</f>
        <v>507763.99380209571</v>
      </c>
      <c r="E263" s="14">
        <v>0</v>
      </c>
      <c r="F263" s="14">
        <v>0</v>
      </c>
      <c r="H263" s="24"/>
      <c r="I263" s="14">
        <f t="shared" si="90"/>
        <v>801469.9610353196</v>
      </c>
      <c r="J263" s="14">
        <f>W240/W287*J28*W263*$E$282</f>
        <v>577170.89524398895</v>
      </c>
      <c r="K263" s="14">
        <v>0</v>
      </c>
      <c r="L263" s="14">
        <v>0</v>
      </c>
      <c r="P263" s="73">
        <v>0.77301291338972522</v>
      </c>
      <c r="Q263" s="73">
        <v>0.64931204958751565</v>
      </c>
      <c r="R263" s="73">
        <v>0</v>
      </c>
      <c r="S263" s="73">
        <v>0</v>
      </c>
      <c r="T263" s="73"/>
      <c r="U263" s="73"/>
      <c r="V263" s="73">
        <v>0.69438076679854766</v>
      </c>
      <c r="W263" s="73">
        <v>0.82623917980968187</v>
      </c>
      <c r="X263" s="73">
        <v>0</v>
      </c>
      <c r="Y263" s="73">
        <v>0</v>
      </c>
      <c r="AB263" s="14">
        <f t="shared" si="91"/>
        <v>9138750.0740297269</v>
      </c>
    </row>
    <row r="264" spans="1:28">
      <c r="B264" s="24" t="s">
        <v>92</v>
      </c>
      <c r="C264" s="14">
        <f t="shared" si="89"/>
        <v>5676.2400721044878</v>
      </c>
      <c r="D264" s="14">
        <f t="shared" ref="D264:D281" si="92">Q241/Q288*D29*Q264*$E$282</f>
        <v>429660.99623468419</v>
      </c>
      <c r="E264" s="14">
        <f>R241/R288*E29*R264*$E$282</f>
        <v>903189.01273331337</v>
      </c>
      <c r="F264" s="14">
        <v>0</v>
      </c>
      <c r="H264" s="24"/>
      <c r="I264" s="14">
        <f t="shared" si="90"/>
        <v>17498.49912085446</v>
      </c>
      <c r="J264" s="14">
        <f t="shared" ref="J264:J281" si="93">W241/W288*J29*W264*$E$282</f>
        <v>421945.01620094414</v>
      </c>
      <c r="K264" s="14">
        <f>X241/X288*K29*X264*$E$282</f>
        <v>909455.11196818482</v>
      </c>
      <c r="L264" s="14">
        <v>0</v>
      </c>
      <c r="P264" s="73">
        <v>0.45448808272449176</v>
      </c>
      <c r="Q264" s="73">
        <v>1.0574877305222836</v>
      </c>
      <c r="R264" s="73">
        <v>1.2098313186637846</v>
      </c>
      <c r="S264" s="73">
        <v>0</v>
      </c>
      <c r="T264" s="73"/>
      <c r="U264" s="73"/>
      <c r="V264" s="73">
        <v>0.52832249329369207</v>
      </c>
      <c r="W264" s="73">
        <v>1.1418131378177039</v>
      </c>
      <c r="X264" s="73">
        <v>1.1311581123840753</v>
      </c>
      <c r="Y264" s="73">
        <v>0</v>
      </c>
      <c r="AB264" s="14">
        <f t="shared" si="91"/>
        <v>56762.399891197827</v>
      </c>
    </row>
    <row r="265" spans="1:28">
      <c r="B265" s="24" t="s">
        <v>93</v>
      </c>
      <c r="C265" s="14">
        <f t="shared" si="89"/>
        <v>0</v>
      </c>
      <c r="D265" s="14">
        <f t="shared" si="92"/>
        <v>349208.9655501548</v>
      </c>
      <c r="E265" s="14">
        <f t="shared" ref="E265:E281" si="94">R242/R289*E30*R265*$E$282</f>
        <v>903189.07711331756</v>
      </c>
      <c r="F265" s="14">
        <f>S242/S289*F30*S265*$E$282</f>
        <v>109174.94476271965</v>
      </c>
      <c r="H265" s="24"/>
      <c r="I265" s="14">
        <f t="shared" si="90"/>
        <v>50912.898235476736</v>
      </c>
      <c r="J265" s="14">
        <f t="shared" si="93"/>
        <v>353398.04531867214</v>
      </c>
      <c r="K265" s="14">
        <f t="shared" ref="K265:K281" si="95">X242/X289*K30*X265*$E$282</f>
        <v>909455.11818761087</v>
      </c>
      <c r="L265" s="14">
        <f>Y242/Y289*L30*Y265*$E$282</f>
        <v>94813.485132420392</v>
      </c>
      <c r="P265" s="73">
        <v>1</v>
      </c>
      <c r="Q265" s="73">
        <v>0.91385678873276333</v>
      </c>
      <c r="R265" s="73">
        <v>1.3888663250273074</v>
      </c>
      <c r="S265" s="73">
        <v>0.63033206052989488</v>
      </c>
      <c r="T265" s="73"/>
      <c r="U265" s="73"/>
      <c r="V265" s="73">
        <v>0.62391253738490082</v>
      </c>
      <c r="W265" s="73">
        <v>1.0919219792403305</v>
      </c>
      <c r="X265" s="73">
        <v>1.2985505787732179</v>
      </c>
      <c r="Y265" s="73">
        <v>0.47436911919533969</v>
      </c>
      <c r="AB265" s="14">
        <f t="shared" si="91"/>
        <v>0</v>
      </c>
    </row>
    <row r="266" spans="1:28">
      <c r="B266" s="24" t="s">
        <v>94</v>
      </c>
      <c r="C266" s="14">
        <f t="shared" si="89"/>
        <v>0</v>
      </c>
      <c r="D266" s="14">
        <f t="shared" si="92"/>
        <v>391360.03893262817</v>
      </c>
      <c r="E266" s="14">
        <f t="shared" si="94"/>
        <v>838669.11298891623</v>
      </c>
      <c r="F266" s="14">
        <f t="shared" ref="F266:F280" si="96">S243/S290*F31*S266*$E$282</f>
        <v>127532.10749963646</v>
      </c>
      <c r="H266" s="24"/>
      <c r="I266" s="14">
        <f t="shared" si="90"/>
        <v>36184.297333866212</v>
      </c>
      <c r="J266" s="14">
        <f t="shared" si="93"/>
        <v>407090.93744554848</v>
      </c>
      <c r="K266" s="14">
        <f t="shared" si="95"/>
        <v>952653.84063279699</v>
      </c>
      <c r="L266" s="14">
        <f t="shared" ref="L266:L281" si="97">Y243/Y290*L31*Y266*$E$282</f>
        <v>67878.134341032972</v>
      </c>
      <c r="P266" s="73">
        <v>1</v>
      </c>
      <c r="Q266" s="73">
        <v>0.91718273038023845</v>
      </c>
      <c r="R266" s="73">
        <v>1.2492509583537936</v>
      </c>
      <c r="S266" s="73">
        <v>0.65243087326657756</v>
      </c>
      <c r="T266" s="73"/>
      <c r="U266" s="73"/>
      <c r="V266" s="73">
        <v>0.69640531076576728</v>
      </c>
      <c r="W266" s="73">
        <v>1.123535994299566</v>
      </c>
      <c r="X266" s="73">
        <v>1.3390044246562758</v>
      </c>
      <c r="Y266" s="73">
        <v>0.37251168846401966</v>
      </c>
      <c r="AB266" s="14">
        <f t="shared" si="91"/>
        <v>0</v>
      </c>
    </row>
    <row r="267" spans="1:28">
      <c r="B267" s="24" t="s">
        <v>95</v>
      </c>
      <c r="C267" s="14">
        <f t="shared" si="89"/>
        <v>14377.598544384145</v>
      </c>
      <c r="D267" s="14">
        <f t="shared" si="92"/>
        <v>332978.97625708027</v>
      </c>
      <c r="E267" s="14">
        <f t="shared" si="94"/>
        <v>622115.03416469099</v>
      </c>
      <c r="F267" s="14">
        <f t="shared" si="96"/>
        <v>143408.06467364743</v>
      </c>
      <c r="H267" s="24"/>
      <c r="I267" s="14">
        <f t="shared" si="90"/>
        <v>57467.79548408265</v>
      </c>
      <c r="J267" s="14">
        <f t="shared" si="93"/>
        <v>345286.95520378894</v>
      </c>
      <c r="K267" s="14">
        <f t="shared" si="95"/>
        <v>734794.08331422822</v>
      </c>
      <c r="L267" s="14">
        <f t="shared" si="97"/>
        <v>75425.424026001361</v>
      </c>
      <c r="P267" s="73">
        <v>0.71648534020370025</v>
      </c>
      <c r="Q267" s="73">
        <v>0.90463225489064159</v>
      </c>
      <c r="R267" s="73">
        <v>0.97424389919921051</v>
      </c>
      <c r="S267" s="73">
        <v>1.0217211650721256</v>
      </c>
      <c r="T267" s="73"/>
      <c r="U267" s="73"/>
      <c r="V267" s="73">
        <v>0.76207202970657362</v>
      </c>
      <c r="W267" s="73">
        <v>1.0116414964565135</v>
      </c>
      <c r="X267" s="73">
        <v>1.110611039859084</v>
      </c>
      <c r="Y267" s="73">
        <v>0.53442751505278452</v>
      </c>
      <c r="AB267" s="14">
        <f t="shared" si="91"/>
        <v>143776.00219645372</v>
      </c>
    </row>
    <row r="268" spans="1:28">
      <c r="B268" s="24" t="s">
        <v>96</v>
      </c>
      <c r="C268" s="14">
        <f t="shared" si="89"/>
        <v>39904.398983538194</v>
      </c>
      <c r="D268" s="14">
        <f t="shared" si="92"/>
        <v>417417.92009642289</v>
      </c>
      <c r="E268" s="14">
        <f t="shared" si="94"/>
        <v>647092.8849467613</v>
      </c>
      <c r="F268" s="14">
        <f t="shared" si="96"/>
        <v>147330.98368625061</v>
      </c>
      <c r="H268" s="24"/>
      <c r="I268" s="14">
        <f t="shared" si="90"/>
        <v>89734.295360427714</v>
      </c>
      <c r="J268" s="14">
        <f t="shared" si="93"/>
        <v>438126.93726614333</v>
      </c>
      <c r="K268" s="14">
        <f t="shared" si="95"/>
        <v>769437.94157893176</v>
      </c>
      <c r="L268" s="14">
        <f t="shared" si="97"/>
        <v>73097.495825453676</v>
      </c>
      <c r="P268" s="73">
        <v>0.8335857136534246</v>
      </c>
      <c r="Q268" s="73">
        <v>1.1428359496455167</v>
      </c>
      <c r="R268" s="73">
        <v>1.1420883028215922</v>
      </c>
      <c r="S268" s="73">
        <v>1.1814013313647489</v>
      </c>
      <c r="T268" s="73"/>
      <c r="U268" s="73"/>
      <c r="V268" s="73">
        <v>0.88159292808188638</v>
      </c>
      <c r="W268" s="73">
        <v>1.3637826183774064</v>
      </c>
      <c r="X268" s="73">
        <v>1.3568761915017085</v>
      </c>
      <c r="Y268" s="73">
        <v>0.5957077830843911</v>
      </c>
      <c r="AB268" s="14">
        <f t="shared" si="91"/>
        <v>399044.0015337916</v>
      </c>
    </row>
    <row r="269" spans="1:28">
      <c r="B269" s="24" t="s">
        <v>97</v>
      </c>
      <c r="C269" s="14">
        <f t="shared" si="89"/>
        <v>63143.597710846836</v>
      </c>
      <c r="D269" s="14">
        <f t="shared" si="92"/>
        <v>423820.87936455733</v>
      </c>
      <c r="E269" s="14">
        <f t="shared" si="94"/>
        <v>604611.92718709446</v>
      </c>
      <c r="F269" s="14">
        <f t="shared" si="96"/>
        <v>137657.10372196071</v>
      </c>
      <c r="H269" s="24"/>
      <c r="I269" s="14">
        <f t="shared" si="90"/>
        <v>92507.40351840778</v>
      </c>
      <c r="J269" s="14">
        <f t="shared" si="93"/>
        <v>440937.81579859275</v>
      </c>
      <c r="K269" s="14">
        <f t="shared" si="95"/>
        <v>710364.03286030656</v>
      </c>
      <c r="L269" s="14">
        <f t="shared" si="97"/>
        <v>63721.727830630058</v>
      </c>
      <c r="P269" s="73">
        <v>0.96992056779607494</v>
      </c>
      <c r="Q269" s="73">
        <v>1.2806297843760848</v>
      </c>
      <c r="R269" s="73">
        <v>1.2708480581875665</v>
      </c>
      <c r="S269" s="73">
        <v>1.327072442147412</v>
      </c>
      <c r="T269" s="73"/>
      <c r="U269" s="73"/>
      <c r="V269" s="73">
        <v>1.0070285245277251</v>
      </c>
      <c r="W269" s="73">
        <v>1.5331169557117987</v>
      </c>
      <c r="X269" s="73">
        <v>1.5007318469424438</v>
      </c>
      <c r="Y269" s="73">
        <v>0.62505106827670853</v>
      </c>
      <c r="AB269" s="14">
        <f t="shared" si="91"/>
        <v>631436.00345422095</v>
      </c>
    </row>
    <row r="270" spans="1:28">
      <c r="B270" s="24" t="s">
        <v>98</v>
      </c>
      <c r="C270" s="14">
        <f t="shared" si="89"/>
        <v>103325.99238539588</v>
      </c>
      <c r="D270" s="14">
        <f t="shared" si="92"/>
        <v>393172.95795972925</v>
      </c>
      <c r="E270" s="14">
        <f t="shared" si="94"/>
        <v>526102.05654245429</v>
      </c>
      <c r="F270" s="14">
        <f t="shared" si="96"/>
        <v>115176.08722219517</v>
      </c>
      <c r="H270" s="24"/>
      <c r="I270" s="14">
        <f t="shared" si="90"/>
        <v>144980.00112818196</v>
      </c>
      <c r="J270" s="14">
        <f t="shared" si="93"/>
        <v>405843.14404286089</v>
      </c>
      <c r="K270" s="14">
        <f t="shared" si="95"/>
        <v>599529.05013931997</v>
      </c>
      <c r="L270" s="14">
        <f t="shared" si="97"/>
        <v>47378.503962320035</v>
      </c>
      <c r="P270" s="73">
        <v>1.1453376422228021</v>
      </c>
      <c r="Q270" s="73">
        <v>1.3593048996764561</v>
      </c>
      <c r="R270" s="73">
        <v>1.3841182531723348</v>
      </c>
      <c r="S270" s="73">
        <v>1.3921058290196504</v>
      </c>
      <c r="T270" s="73"/>
      <c r="U270" s="73"/>
      <c r="V270" s="73">
        <v>1.1744350024760295</v>
      </c>
      <c r="W270" s="73">
        <v>1.6904589833787924</v>
      </c>
      <c r="X270" s="73">
        <v>1.5936254300591359</v>
      </c>
      <c r="Y270" s="73">
        <v>0.59402905475315237</v>
      </c>
      <c r="AB270" s="14">
        <f t="shared" si="91"/>
        <v>1033260.0114900686</v>
      </c>
    </row>
    <row r="271" spans="1:28">
      <c r="B271" s="24" t="s">
        <v>99</v>
      </c>
      <c r="C271" s="14">
        <f t="shared" si="89"/>
        <v>86386.605091271282</v>
      </c>
      <c r="D271" s="14">
        <f t="shared" si="92"/>
        <v>357321.01328171167</v>
      </c>
      <c r="E271" s="14">
        <f t="shared" si="94"/>
        <v>442750.13128173113</v>
      </c>
      <c r="F271" s="14">
        <f t="shared" si="96"/>
        <v>89070.601455653683</v>
      </c>
      <c r="H271" s="24"/>
      <c r="I271" s="14">
        <f t="shared" si="90"/>
        <v>103623.99316396199</v>
      </c>
      <c r="J271" s="14">
        <f t="shared" si="93"/>
        <v>396522.73723384296</v>
      </c>
      <c r="K271" s="14">
        <f t="shared" si="95"/>
        <v>539995.6646346132</v>
      </c>
      <c r="L271" s="14">
        <f t="shared" si="97"/>
        <v>38711.376836101204</v>
      </c>
      <c r="P271" s="73">
        <v>1.279959310686843</v>
      </c>
      <c r="Q271" s="73">
        <v>1.4911719906490142</v>
      </c>
      <c r="R271" s="73">
        <v>1.4946792103454334</v>
      </c>
      <c r="S271" s="73">
        <v>1.4244790885311487</v>
      </c>
      <c r="T271" s="73"/>
      <c r="U271" s="73"/>
      <c r="V271" s="73">
        <v>1.3046781945079038</v>
      </c>
      <c r="W271" s="73">
        <v>1.9458975846292215</v>
      </c>
      <c r="X271" s="73">
        <v>1.8364548405373196</v>
      </c>
      <c r="Y271" s="73">
        <v>0.63344365149582604</v>
      </c>
      <c r="AB271" s="14">
        <f t="shared" si="91"/>
        <v>863865.99231751845</v>
      </c>
    </row>
    <row r="272" spans="1:28">
      <c r="B272" s="24" t="s">
        <v>100</v>
      </c>
      <c r="C272" s="14">
        <f t="shared" si="89"/>
        <v>96585.101337530956</v>
      </c>
      <c r="D272" s="14">
        <f t="shared" si="92"/>
        <v>301910.91216436221</v>
      </c>
      <c r="E272" s="14">
        <f t="shared" si="94"/>
        <v>352093.16252893803</v>
      </c>
      <c r="F272" s="14">
        <f t="shared" si="96"/>
        <v>64656.165408353139</v>
      </c>
      <c r="H272" s="24"/>
      <c r="I272" s="14">
        <f t="shared" si="90"/>
        <v>107331.00255235008</v>
      </c>
      <c r="J272" s="14">
        <f t="shared" si="93"/>
        <v>356530.94971506001</v>
      </c>
      <c r="K272" s="14">
        <f t="shared" si="95"/>
        <v>454864.77938674146</v>
      </c>
      <c r="L272" s="14">
        <f t="shared" si="97"/>
        <v>29142.305234191255</v>
      </c>
      <c r="P272" s="73">
        <v>1.4862078797570937</v>
      </c>
      <c r="Q272" s="73">
        <v>1.642273999266552</v>
      </c>
      <c r="R272" s="73">
        <v>1.5878053885113925</v>
      </c>
      <c r="S272" s="73">
        <v>1.4215961477450723</v>
      </c>
      <c r="T272" s="73"/>
      <c r="U272" s="73"/>
      <c r="V272" s="73">
        <v>1.5351638568193942</v>
      </c>
      <c r="W272" s="73">
        <v>2.2195766842510953</v>
      </c>
      <c r="X272" s="73">
        <v>2.068835731078229</v>
      </c>
      <c r="Y272" s="73">
        <v>0.6518467676311902</v>
      </c>
      <c r="AB272" s="14">
        <f t="shared" si="91"/>
        <v>965850.9979817305</v>
      </c>
    </row>
    <row r="273" spans="2:28">
      <c r="B273" s="24" t="s">
        <v>101</v>
      </c>
      <c r="C273" s="14">
        <f t="shared" si="89"/>
        <v>90489.915691958231</v>
      </c>
      <c r="D273" s="14">
        <f t="shared" si="92"/>
        <v>267267.01449404529</v>
      </c>
      <c r="E273" s="14">
        <f t="shared" si="94"/>
        <v>294718.21396542416</v>
      </c>
      <c r="F273" s="14">
        <f t="shared" si="96"/>
        <v>49384.325114437823</v>
      </c>
      <c r="H273" s="24"/>
      <c r="I273" s="14">
        <f t="shared" si="90"/>
        <v>98308.493052029458</v>
      </c>
      <c r="J273" s="14">
        <f t="shared" si="93"/>
        <v>320388.70500301773</v>
      </c>
      <c r="K273" s="14">
        <f t="shared" si="95"/>
        <v>378367.64671734936</v>
      </c>
      <c r="L273" s="14">
        <f t="shared" si="97"/>
        <v>21602.989169388635</v>
      </c>
      <c r="P273" s="73">
        <v>1.8699180177678849</v>
      </c>
      <c r="Q273" s="73">
        <v>2.0282964406955162</v>
      </c>
      <c r="R273" s="73">
        <v>1.9492602554464262</v>
      </c>
      <c r="S273" s="73">
        <v>1.6362370093797001</v>
      </c>
      <c r="T273" s="73"/>
      <c r="U273" s="73"/>
      <c r="V273" s="73">
        <v>2.0134260469141925</v>
      </c>
      <c r="W273" s="73">
        <v>2.8560447949315275</v>
      </c>
      <c r="X273" s="73">
        <v>2.5646581209580055</v>
      </c>
      <c r="Y273" s="73">
        <v>0.73078897955602351</v>
      </c>
      <c r="AB273" s="14">
        <f t="shared" si="91"/>
        <v>904898.97632159595</v>
      </c>
    </row>
    <row r="274" spans="2:28">
      <c r="B274" s="24" t="s">
        <v>102</v>
      </c>
      <c r="C274" s="14">
        <f t="shared" si="89"/>
        <v>92687.365475095517</v>
      </c>
      <c r="D274" s="14">
        <f t="shared" si="92"/>
        <v>214597.09496573737</v>
      </c>
      <c r="E274" s="14">
        <f t="shared" si="94"/>
        <v>231229.95823820215</v>
      </c>
      <c r="F274" s="14">
        <f t="shared" si="96"/>
        <v>35030.426974852126</v>
      </c>
      <c r="H274" s="24"/>
      <c r="I274" s="14">
        <f t="shared" si="90"/>
        <v>99630.242655618553</v>
      </c>
      <c r="J274" s="14">
        <f t="shared" si="93"/>
        <v>271221.52717034845</v>
      </c>
      <c r="K274" s="14">
        <f t="shared" si="95"/>
        <v>299294.60641004064</v>
      </c>
      <c r="L274" s="14">
        <f t="shared" si="97"/>
        <v>15360.675042483292</v>
      </c>
      <c r="P274" s="73">
        <v>2.618593824583523</v>
      </c>
      <c r="Q274" s="73">
        <v>2.8508616463649266</v>
      </c>
      <c r="R274" s="73">
        <v>2.747550620565435</v>
      </c>
      <c r="S274" s="73">
        <v>2.127195803563354</v>
      </c>
      <c r="T274" s="73"/>
      <c r="U274" s="73"/>
      <c r="V274" s="73">
        <v>2.9620199546698385</v>
      </c>
      <c r="W274" s="73">
        <v>4.2773353424419707</v>
      </c>
      <c r="X274" s="73">
        <v>3.7445690862291721</v>
      </c>
      <c r="Y274" s="73">
        <v>0.96947277680461086</v>
      </c>
      <c r="AB274" s="14">
        <f t="shared" si="91"/>
        <v>926872.90120125609</v>
      </c>
    </row>
    <row r="275" spans="2:28">
      <c r="B275" s="24" t="s">
        <v>103</v>
      </c>
      <c r="C275" s="14">
        <f t="shared" si="89"/>
        <v>77868.967531562856</v>
      </c>
      <c r="D275" s="14">
        <f t="shared" si="92"/>
        <v>151697.37348238582</v>
      </c>
      <c r="E275" s="14">
        <f t="shared" si="94"/>
        <v>167314.26228314379</v>
      </c>
      <c r="F275" s="14">
        <f t="shared" si="96"/>
        <v>22682.394916772315</v>
      </c>
      <c r="H275" s="24"/>
      <c r="I275" s="14">
        <f t="shared" si="90"/>
        <v>87631.792695609285</v>
      </c>
      <c r="J275" s="14">
        <f t="shared" si="93"/>
        <v>198794.15985071147</v>
      </c>
      <c r="K275" s="14">
        <f t="shared" si="95"/>
        <v>215080.28068782756</v>
      </c>
      <c r="L275" s="14">
        <f t="shared" si="97"/>
        <v>9327.3042987993667</v>
      </c>
      <c r="P275" s="73">
        <v>3.9192567480567639</v>
      </c>
      <c r="Q275" s="73">
        <v>4.1798426391699817</v>
      </c>
      <c r="R275" s="73">
        <v>4.243767796908088</v>
      </c>
      <c r="S275" s="73">
        <v>2.9956491661260958</v>
      </c>
      <c r="T275" s="73"/>
      <c r="U275" s="73"/>
      <c r="V275" s="73">
        <v>4.6796174236396677</v>
      </c>
      <c r="W275" s="73">
        <v>6.6215535495116393</v>
      </c>
      <c r="X275" s="73">
        <v>5.8122280765680419</v>
      </c>
      <c r="Y275" s="73">
        <v>1.2869580479036098</v>
      </c>
      <c r="AB275" s="14">
        <f t="shared" si="91"/>
        <v>778691.19988844823</v>
      </c>
    </row>
    <row r="276" spans="2:28">
      <c r="B276" s="24" t="s">
        <v>104</v>
      </c>
      <c r="C276" s="14">
        <f t="shared" si="89"/>
        <v>56262.544636742467</v>
      </c>
      <c r="D276" s="14">
        <f t="shared" si="92"/>
        <v>90889.947335556077</v>
      </c>
      <c r="E276" s="14">
        <f t="shared" si="94"/>
        <v>97100.450257859397</v>
      </c>
      <c r="F276" s="14">
        <f t="shared" si="96"/>
        <v>11775.967886316022</v>
      </c>
      <c r="H276" s="24"/>
      <c r="I276" s="14">
        <f t="shared" si="90"/>
        <v>66666.292817909271</v>
      </c>
      <c r="J276" s="14">
        <f t="shared" si="93"/>
        <v>126532.60755950792</v>
      </c>
      <c r="K276" s="14">
        <f t="shared" si="95"/>
        <v>127870.21200159121</v>
      </c>
      <c r="L276" s="14">
        <f t="shared" si="97"/>
        <v>4993.6489266816634</v>
      </c>
      <c r="P276" s="73">
        <v>6.3249123699561522</v>
      </c>
      <c r="Q276" s="73">
        <v>6.1923829731312452</v>
      </c>
      <c r="R276" s="73">
        <v>6.2930567450599222</v>
      </c>
      <c r="S276" s="73">
        <v>4.006369064103608</v>
      </c>
      <c r="T276" s="73"/>
      <c r="U276" s="73"/>
      <c r="V276" s="73">
        <v>7.9849964501499624</v>
      </c>
      <c r="W276" s="73">
        <v>10.52863405821345</v>
      </c>
      <c r="X276" s="73">
        <v>8.8633397001903766</v>
      </c>
      <c r="Y276" s="73">
        <v>1.7672633403725531</v>
      </c>
      <c r="AB276" s="14">
        <f t="shared" si="91"/>
        <v>562627.234435622</v>
      </c>
    </row>
    <row r="277" spans="2:28">
      <c r="B277" s="24" t="s">
        <v>105</v>
      </c>
      <c r="C277" s="14">
        <f t="shared" si="89"/>
        <v>34885.055112981579</v>
      </c>
      <c r="D277" s="14">
        <f t="shared" si="92"/>
        <v>40910.327225702822</v>
      </c>
      <c r="E277" s="14">
        <f t="shared" si="94"/>
        <v>38357.47198422745</v>
      </c>
      <c r="F277" s="14">
        <f t="shared" si="96"/>
        <v>4181.0257852842715</v>
      </c>
      <c r="H277" s="24"/>
      <c r="I277" s="14">
        <f t="shared" si="90"/>
        <v>49067.409212921717</v>
      </c>
      <c r="J277" s="14">
        <f t="shared" si="93"/>
        <v>61273.289676739172</v>
      </c>
      <c r="K277" s="14">
        <f t="shared" si="95"/>
        <v>57277.166782285916</v>
      </c>
      <c r="L277" s="14">
        <f t="shared" si="97"/>
        <v>2045.6418864523698</v>
      </c>
      <c r="P277" s="73">
        <v>8.9486392482304122</v>
      </c>
      <c r="Q277" s="73">
        <v>7.4957581283038568</v>
      </c>
      <c r="R277" s="73">
        <v>7.0417029465562031</v>
      </c>
      <c r="S277" s="73">
        <v>4.0372207961881337</v>
      </c>
      <c r="T277" s="73"/>
      <c r="U277" s="73"/>
      <c r="V277" s="73">
        <v>12.246549231510626</v>
      </c>
      <c r="W277" s="73">
        <v>14.074973256562751</v>
      </c>
      <c r="X277" s="73">
        <v>11.135542860711608</v>
      </c>
      <c r="Y277" s="73">
        <v>2.0437136866523913</v>
      </c>
      <c r="AB277" s="14">
        <f t="shared" si="91"/>
        <v>348848.76594203227</v>
      </c>
    </row>
    <row r="278" spans="2:28">
      <c r="B278" s="24" t="s">
        <v>106</v>
      </c>
      <c r="C278" s="14">
        <f t="shared" si="89"/>
        <v>11249.406789615101</v>
      </c>
      <c r="D278" s="14">
        <f t="shared" si="92"/>
        <v>14425.465497325556</v>
      </c>
      <c r="E278" s="14">
        <f t="shared" si="94"/>
        <v>13466.555717069787</v>
      </c>
      <c r="F278" s="14">
        <f t="shared" si="96"/>
        <v>1249.1863617678866</v>
      </c>
      <c r="H278" s="24"/>
      <c r="I278" s="14">
        <f t="shared" si="90"/>
        <v>17364.667479369924</v>
      </c>
      <c r="J278" s="14">
        <f t="shared" si="93"/>
        <v>25622.382725807161</v>
      </c>
      <c r="K278" s="14">
        <f t="shared" si="95"/>
        <v>22164.177371278045</v>
      </c>
      <c r="L278" s="14">
        <f t="shared" si="97"/>
        <v>684.46009258950062</v>
      </c>
      <c r="P278" s="73">
        <v>10.99170274170274</v>
      </c>
      <c r="Q278" s="73">
        <v>9.3373402459609345</v>
      </c>
      <c r="R278" s="73">
        <v>8.8612442210484481</v>
      </c>
      <c r="S278" s="73">
        <v>4.4124853734734444</v>
      </c>
      <c r="T278" s="73"/>
      <c r="U278" s="73"/>
      <c r="V278" s="73">
        <v>17.508393635158175</v>
      </c>
      <c r="W278" s="73">
        <v>21.07136762544615</v>
      </c>
      <c r="X278" s="73">
        <v>15.644396716555679</v>
      </c>
      <c r="Y278" s="73">
        <v>2.4632426640290142</v>
      </c>
      <c r="AB278" s="14">
        <f t="shared" si="91"/>
        <v>112490.5370693471</v>
      </c>
    </row>
    <row r="279" spans="2:28">
      <c r="B279" s="24" t="s">
        <v>107</v>
      </c>
      <c r="C279" s="14">
        <f t="shared" si="89"/>
        <v>2467.8862060184265</v>
      </c>
      <c r="D279" s="14">
        <f t="shared" si="92"/>
        <v>3228.8915978547843</v>
      </c>
      <c r="E279" s="14">
        <f t="shared" si="94"/>
        <v>3021.2287023761182</v>
      </c>
      <c r="F279" s="14">
        <f t="shared" si="96"/>
        <v>233.86658470571993</v>
      </c>
      <c r="H279" s="24"/>
      <c r="I279" s="14">
        <f t="shared" si="90"/>
        <v>4425.2864145981966</v>
      </c>
      <c r="J279" s="14">
        <f t="shared" si="93"/>
        <v>6951.2703014268418</v>
      </c>
      <c r="K279" s="14">
        <f t="shared" si="95"/>
        <v>5365.1792351465292</v>
      </c>
      <c r="L279" s="14">
        <f t="shared" si="97"/>
        <v>145.00481716280112</v>
      </c>
      <c r="P279" s="73">
        <v>8.8164775472798471</v>
      </c>
      <c r="Q279" s="73">
        <v>7.6419132216678562</v>
      </c>
      <c r="R279" s="73">
        <v>7.221335362014691</v>
      </c>
      <c r="S279" s="73">
        <v>3.2000694648478487</v>
      </c>
      <c r="T279" s="73"/>
      <c r="U279" s="73"/>
      <c r="V279" s="73">
        <v>16.795106740393361</v>
      </c>
      <c r="W279" s="73">
        <v>20.817900181018874</v>
      </c>
      <c r="X279" s="73">
        <v>13.862061388550543</v>
      </c>
      <c r="Y279" s="73">
        <v>1.9280606577344699</v>
      </c>
      <c r="AB279" s="14">
        <f t="shared" si="91"/>
        <v>24675.107770936007</v>
      </c>
    </row>
    <row r="280" spans="2:28">
      <c r="B280" s="24" t="s">
        <v>108</v>
      </c>
      <c r="C280" s="14">
        <f t="shared" si="89"/>
        <v>404.65677363717731</v>
      </c>
      <c r="D280" s="14">
        <f t="shared" si="92"/>
        <v>418.59802083226094</v>
      </c>
      <c r="E280" s="14">
        <f t="shared" si="94"/>
        <v>386.12152183712573</v>
      </c>
      <c r="F280" s="14">
        <f t="shared" si="96"/>
        <v>24.008190578572751</v>
      </c>
      <c r="H280" s="24"/>
      <c r="I280" s="14">
        <f t="shared" si="90"/>
        <v>747.11044058678021</v>
      </c>
      <c r="J280" s="14">
        <f t="shared" si="93"/>
        <v>1152.8006301842308</v>
      </c>
      <c r="K280" s="14">
        <f t="shared" si="95"/>
        <v>702.10635624084182</v>
      </c>
      <c r="L280" s="14">
        <f t="shared" si="97"/>
        <v>16.202170406191421</v>
      </c>
      <c r="P280" s="73">
        <v>5.8347571428571436</v>
      </c>
      <c r="Q280" s="73">
        <v>4.7664647335423203</v>
      </c>
      <c r="R280" s="73">
        <v>4.0286759225092252</v>
      </c>
      <c r="S280" s="73">
        <v>1.8111506912442397</v>
      </c>
      <c r="T280" s="73"/>
      <c r="U280" s="73"/>
      <c r="V280" s="73">
        <v>13.597992610837437</v>
      </c>
      <c r="W280" s="73">
        <v>15.246417045454542</v>
      </c>
      <c r="X280" s="73">
        <v>7.8359589935760177</v>
      </c>
      <c r="Y280" s="73">
        <v>0.86148128342245989</v>
      </c>
      <c r="AB280" s="14">
        <f t="shared" si="91"/>
        <v>4047.6636919639468</v>
      </c>
    </row>
    <row r="281" spans="2:28">
      <c r="B281" s="24" t="s">
        <v>109</v>
      </c>
      <c r="C281" s="14">
        <f t="shared" si="89"/>
        <v>105.97975525270546</v>
      </c>
      <c r="D281" s="14">
        <f t="shared" si="92"/>
        <v>32.401200440982606</v>
      </c>
      <c r="E281" s="14">
        <f t="shared" si="94"/>
        <v>16.123135428600246</v>
      </c>
      <c r="F281" s="14">
        <f>S258/S305*F46*S281*$E$282</f>
        <v>0</v>
      </c>
      <c r="H281" s="24"/>
      <c r="I281" s="14">
        <f t="shared" si="90"/>
        <v>187.58533172930007</v>
      </c>
      <c r="J281" s="14">
        <f t="shared" si="93"/>
        <v>96.60350261094078</v>
      </c>
      <c r="K281" s="14">
        <f t="shared" si="95"/>
        <v>47.838941002813378</v>
      </c>
      <c r="L281" s="14">
        <v>0</v>
      </c>
      <c r="P281" s="73">
        <v>2.8897801801801806</v>
      </c>
      <c r="Q281" s="73">
        <v>2.4469538461538463</v>
      </c>
      <c r="R281" s="73">
        <v>0.73225909090909092</v>
      </c>
      <c r="S281" s="73">
        <v>1</v>
      </c>
      <c r="T281" s="73"/>
      <c r="U281" s="73"/>
      <c r="V281" s="73">
        <v>6.5525506807866867</v>
      </c>
      <c r="W281" s="73">
        <v>6.8262972067039103</v>
      </c>
      <c r="X281" s="73">
        <v>2.8834563157894739</v>
      </c>
      <c r="Y281" s="73">
        <v>1</v>
      </c>
      <c r="AB281" s="14">
        <f t="shared" si="91"/>
        <v>1059.6967887482122</v>
      </c>
    </row>
    <row r="282" spans="2:28">
      <c r="C282" s="79">
        <v>0.21800000700414529</v>
      </c>
      <c r="D282" s="80">
        <v>0.1</v>
      </c>
      <c r="E282" s="81">
        <f>D282/C282</f>
        <v>0.45871558159215331</v>
      </c>
      <c r="F282" s="80">
        <f>(1-D282)/(1-C282)</f>
        <v>1.1508951509731928</v>
      </c>
      <c r="L282" s="14"/>
    </row>
    <row r="284" spans="2:28">
      <c r="O284" t="s">
        <v>110</v>
      </c>
      <c r="P284" t="s">
        <v>121</v>
      </c>
      <c r="Q284" t="s">
        <v>122</v>
      </c>
      <c r="R284" t="s">
        <v>113</v>
      </c>
      <c r="S284" t="s">
        <v>123</v>
      </c>
      <c r="U284" t="s">
        <v>111</v>
      </c>
      <c r="V284" t="s">
        <v>121</v>
      </c>
      <c r="W284" t="s">
        <v>122</v>
      </c>
      <c r="X284" t="s">
        <v>113</v>
      </c>
      <c r="Y284" t="s">
        <v>123</v>
      </c>
    </row>
    <row r="285" spans="2:28">
      <c r="C285" s="14"/>
      <c r="D285" s="14"/>
      <c r="E285" s="14"/>
      <c r="F285" s="14"/>
      <c r="G285" s="14"/>
      <c r="H285" s="14"/>
      <c r="I285" s="14"/>
      <c r="J285" s="14"/>
      <c r="K285" s="14"/>
      <c r="L285" s="14"/>
      <c r="P285" s="14">
        <f>SUM(P238,P191,P144,P97,P50)</f>
        <v>88892590</v>
      </c>
      <c r="Q285" s="14">
        <f t="shared" ref="Q285:Y285" si="98">SUM(Q238,Q191,Q144,Q97,Q50)</f>
        <v>0</v>
      </c>
      <c r="R285" s="14">
        <f t="shared" si="98"/>
        <v>0</v>
      </c>
      <c r="S285" s="14">
        <f t="shared" si="98"/>
        <v>0</v>
      </c>
      <c r="T285" s="14"/>
      <c r="U285" s="14"/>
      <c r="V285" s="14">
        <f t="shared" si="98"/>
        <v>85009420</v>
      </c>
      <c r="W285" s="14">
        <f t="shared" si="98"/>
        <v>0</v>
      </c>
      <c r="X285" s="14">
        <f t="shared" si="98"/>
        <v>0</v>
      </c>
      <c r="Y285" s="14">
        <f t="shared" si="98"/>
        <v>0</v>
      </c>
    </row>
    <row r="286" spans="2:28">
      <c r="C286" s="14"/>
      <c r="D286" s="14"/>
      <c r="E286" s="14"/>
      <c r="F286" s="14"/>
      <c r="G286" s="14"/>
      <c r="H286" s="14"/>
      <c r="I286" s="14"/>
      <c r="J286" s="14"/>
      <c r="K286" s="14"/>
      <c r="L286" s="14"/>
      <c r="P286" s="14">
        <f t="shared" ref="P286:Y305" si="99">SUM(P239,P192,P145,P98,P51)</f>
        <v>70065810</v>
      </c>
      <c r="Q286" s="14">
        <f t="shared" si="99"/>
        <v>0</v>
      </c>
      <c r="R286" s="14">
        <f t="shared" si="99"/>
        <v>0</v>
      </c>
      <c r="S286" s="14">
        <f t="shared" si="99"/>
        <v>0</v>
      </c>
      <c r="T286" s="14"/>
      <c r="U286" s="14"/>
      <c r="V286" s="14">
        <f t="shared" si="99"/>
        <v>66909960</v>
      </c>
      <c r="W286" s="14">
        <f t="shared" si="99"/>
        <v>0</v>
      </c>
      <c r="X286" s="14">
        <f t="shared" si="99"/>
        <v>0</v>
      </c>
      <c r="Y286" s="14">
        <f t="shared" si="99"/>
        <v>0</v>
      </c>
    </row>
    <row r="287" spans="2:28">
      <c r="C287" s="14"/>
      <c r="D287" s="14"/>
      <c r="E287" s="14"/>
      <c r="F287" s="14"/>
      <c r="G287" s="14"/>
      <c r="H287" s="14"/>
      <c r="I287" s="14"/>
      <c r="J287" s="14"/>
      <c r="K287" s="14"/>
      <c r="L287" s="14"/>
      <c r="P287" s="14">
        <f t="shared" si="99"/>
        <v>53958540</v>
      </c>
      <c r="Q287" s="14">
        <f t="shared" si="99"/>
        <v>14352152</v>
      </c>
      <c r="R287" s="14">
        <f t="shared" si="99"/>
        <v>0</v>
      </c>
      <c r="S287" s="14">
        <f t="shared" si="99"/>
        <v>0</v>
      </c>
      <c r="T287" s="14"/>
      <c r="U287" s="14"/>
      <c r="V287" s="14">
        <f t="shared" si="99"/>
        <v>52548170</v>
      </c>
      <c r="W287" s="14">
        <f t="shared" si="99"/>
        <v>12585417.300000001</v>
      </c>
      <c r="X287" s="14">
        <f t="shared" si="99"/>
        <v>0</v>
      </c>
      <c r="Y287" s="14">
        <f t="shared" si="99"/>
        <v>0</v>
      </c>
    </row>
    <row r="288" spans="2:28">
      <c r="C288" s="14"/>
      <c r="D288" s="14"/>
      <c r="E288" s="14"/>
      <c r="F288" s="14"/>
      <c r="G288" s="14"/>
      <c r="H288" s="14"/>
      <c r="I288" s="14"/>
      <c r="J288" s="14"/>
      <c r="K288" s="14"/>
      <c r="L288" s="14"/>
      <c r="P288" s="14">
        <f t="shared" si="99"/>
        <v>21577254.399999999</v>
      </c>
      <c r="Q288" s="14">
        <f t="shared" si="99"/>
        <v>20760652</v>
      </c>
      <c r="R288" s="14">
        <f t="shared" si="99"/>
        <v>20168764</v>
      </c>
      <c r="S288" s="14">
        <f t="shared" si="99"/>
        <v>0</v>
      </c>
      <c r="T288" s="14"/>
      <c r="U288" s="14"/>
      <c r="V288" s="14">
        <f t="shared" si="99"/>
        <v>28901994</v>
      </c>
      <c r="W288" s="14">
        <f t="shared" si="99"/>
        <v>15447526</v>
      </c>
      <c r="X288" s="14">
        <f t="shared" si="99"/>
        <v>16243739.300000001</v>
      </c>
      <c r="Y288" s="14">
        <f t="shared" si="99"/>
        <v>0</v>
      </c>
    </row>
    <row r="289" spans="3:25">
      <c r="C289" s="14"/>
      <c r="D289" s="14"/>
      <c r="E289" s="14"/>
      <c r="F289" s="14"/>
      <c r="G289" s="14"/>
      <c r="H289" s="14"/>
      <c r="I289" s="14"/>
      <c r="J289" s="14"/>
      <c r="K289" s="14"/>
      <c r="L289" s="14"/>
      <c r="P289" s="14">
        <f t="shared" si="99"/>
        <v>20897030</v>
      </c>
      <c r="Q289" s="14">
        <f t="shared" si="99"/>
        <v>15628172</v>
      </c>
      <c r="R289" s="14">
        <f t="shared" si="99"/>
        <v>20168764</v>
      </c>
      <c r="S289" s="14">
        <f t="shared" si="99"/>
        <v>1830704.9200000002</v>
      </c>
      <c r="T289" s="14"/>
      <c r="U289" s="14"/>
      <c r="V289" s="14">
        <f t="shared" si="99"/>
        <v>27164508</v>
      </c>
      <c r="W289" s="14">
        <f t="shared" si="99"/>
        <v>12868263.4</v>
      </c>
      <c r="X289" s="14">
        <f t="shared" si="99"/>
        <v>16243739.300000001</v>
      </c>
      <c r="Y289" s="14">
        <f t="shared" si="99"/>
        <v>1186788.996</v>
      </c>
    </row>
    <row r="290" spans="3:25">
      <c r="C290" s="14"/>
      <c r="D290" s="14"/>
      <c r="E290" s="14"/>
      <c r="F290" s="14"/>
      <c r="G290" s="14"/>
      <c r="H290" s="14"/>
      <c r="I290" s="14"/>
      <c r="J290" s="14"/>
      <c r="K290" s="14"/>
      <c r="L290" s="14"/>
      <c r="P290" s="14">
        <f t="shared" si="99"/>
        <v>20492295.32</v>
      </c>
      <c r="Q290" s="14">
        <f t="shared" si="99"/>
        <v>13362526</v>
      </c>
      <c r="R290" s="14">
        <f t="shared" si="99"/>
        <v>15455077</v>
      </c>
      <c r="S290" s="14">
        <f t="shared" si="99"/>
        <v>1614307.0999999999</v>
      </c>
      <c r="T290" s="14"/>
      <c r="U290" s="14"/>
      <c r="V290" s="14">
        <f t="shared" si="99"/>
        <v>25831102</v>
      </c>
      <c r="W290" s="14">
        <f t="shared" si="99"/>
        <v>11280230.6</v>
      </c>
      <c r="X290" s="14">
        <f t="shared" si="99"/>
        <v>14269600.1</v>
      </c>
      <c r="Y290" s="14">
        <f t="shared" si="99"/>
        <v>793962.1</v>
      </c>
    </row>
    <row r="291" spans="3:25">
      <c r="C291" s="14"/>
      <c r="D291" s="14"/>
      <c r="E291" s="14"/>
      <c r="F291" s="14"/>
      <c r="G291" s="14"/>
      <c r="H291" s="14"/>
      <c r="I291" s="14"/>
      <c r="J291" s="14"/>
      <c r="K291" s="14"/>
      <c r="L291" s="14"/>
      <c r="P291" s="14">
        <f t="shared" si="99"/>
        <v>19021826</v>
      </c>
      <c r="Q291" s="14">
        <f t="shared" si="99"/>
        <v>11228130</v>
      </c>
      <c r="R291" s="14">
        <f t="shared" si="99"/>
        <v>10268141</v>
      </c>
      <c r="S291" s="14">
        <f t="shared" si="99"/>
        <v>2153707.5</v>
      </c>
      <c r="T291" s="14"/>
      <c r="U291" s="14"/>
      <c r="V291" s="14">
        <f t="shared" si="99"/>
        <v>24081278</v>
      </c>
      <c r="W291" s="14">
        <f t="shared" si="99"/>
        <v>8652872.1999999993</v>
      </c>
      <c r="X291" s="14">
        <f t="shared" si="99"/>
        <v>10083108.800000001</v>
      </c>
      <c r="Y291" s="14">
        <f t="shared" si="99"/>
        <v>970401.19</v>
      </c>
    </row>
    <row r="292" spans="3:25">
      <c r="C292" s="14"/>
      <c r="D292" s="14"/>
      <c r="E292" s="14"/>
      <c r="F292" s="14"/>
      <c r="G292" s="14"/>
      <c r="H292" s="14"/>
      <c r="I292" s="14"/>
      <c r="J292" s="14"/>
      <c r="K292" s="14"/>
      <c r="L292" s="14"/>
      <c r="P292" s="14">
        <f t="shared" si="99"/>
        <v>18381712</v>
      </c>
      <c r="Q292" s="14">
        <f t="shared" si="99"/>
        <v>11781759.800000001</v>
      </c>
      <c r="R292" s="14">
        <f t="shared" si="99"/>
        <v>9998036.3000000007</v>
      </c>
      <c r="S292" s="14">
        <f t="shared" si="99"/>
        <v>2068438.8</v>
      </c>
      <c r="T292" s="14"/>
      <c r="U292" s="14"/>
      <c r="V292" s="14">
        <f t="shared" si="99"/>
        <v>23138891</v>
      </c>
      <c r="W292" s="14">
        <f t="shared" si="99"/>
        <v>9688794.5</v>
      </c>
      <c r="X292" s="14">
        <f t="shared" si="99"/>
        <v>10232073.1</v>
      </c>
      <c r="Y292" s="14">
        <f t="shared" si="99"/>
        <v>898435.16</v>
      </c>
    </row>
    <row r="293" spans="3:25">
      <c r="C293" s="14"/>
      <c r="D293" s="14"/>
      <c r="E293" s="14"/>
      <c r="F293" s="14"/>
      <c r="G293" s="14"/>
      <c r="H293" s="14"/>
      <c r="I293" s="14"/>
      <c r="J293" s="14"/>
      <c r="K293" s="14"/>
      <c r="L293" s="14"/>
      <c r="P293" s="14">
        <f t="shared" si="99"/>
        <v>17261494</v>
      </c>
      <c r="Q293" s="14">
        <f t="shared" si="99"/>
        <v>10655071.6</v>
      </c>
      <c r="R293" s="14">
        <f t="shared" si="99"/>
        <v>8978734.7000000011</v>
      </c>
      <c r="S293" s="14">
        <f t="shared" si="99"/>
        <v>1875194.5</v>
      </c>
      <c r="T293" s="14"/>
      <c r="U293" s="14"/>
      <c r="V293" s="14">
        <f t="shared" si="99"/>
        <v>21331565</v>
      </c>
      <c r="W293" s="14">
        <f t="shared" si="99"/>
        <v>8790354.5</v>
      </c>
      <c r="X293" s="14">
        <f t="shared" si="99"/>
        <v>9133412</v>
      </c>
      <c r="Y293" s="14">
        <f t="shared" si="99"/>
        <v>760808.40999999992</v>
      </c>
    </row>
    <row r="294" spans="3:25">
      <c r="C294" s="14"/>
      <c r="D294" s="14"/>
      <c r="E294" s="14"/>
      <c r="F294" s="14"/>
      <c r="G294" s="14"/>
      <c r="H294" s="14"/>
      <c r="I294" s="14"/>
      <c r="J294" s="14"/>
      <c r="K294" s="14"/>
      <c r="L294" s="14"/>
      <c r="P294" s="14">
        <f t="shared" si="99"/>
        <v>15926157</v>
      </c>
      <c r="Q294" s="14">
        <f t="shared" si="99"/>
        <v>8836592.4000000004</v>
      </c>
      <c r="R294" s="14">
        <f t="shared" si="99"/>
        <v>7640642.7999999998</v>
      </c>
      <c r="S294" s="14">
        <f t="shared" si="99"/>
        <v>1536947.48</v>
      </c>
      <c r="T294" s="14"/>
      <c r="U294" s="14"/>
      <c r="V294" s="14">
        <f t="shared" si="99"/>
        <v>19437712</v>
      </c>
      <c r="W294" s="14">
        <f t="shared" si="99"/>
        <v>7573051.7000000002</v>
      </c>
      <c r="X294" s="14">
        <f t="shared" si="99"/>
        <v>7577943.9000000004</v>
      </c>
      <c r="Y294" s="14">
        <f t="shared" si="99"/>
        <v>564940.64</v>
      </c>
    </row>
    <row r="295" spans="3:25">
      <c r="C295" s="14"/>
      <c r="D295" s="14"/>
      <c r="E295" s="14"/>
      <c r="F295" s="14"/>
      <c r="G295" s="14"/>
      <c r="H295" s="14"/>
      <c r="I295" s="14"/>
      <c r="J295" s="14"/>
      <c r="K295" s="14"/>
      <c r="L295" s="14"/>
      <c r="P295" s="14">
        <f t="shared" si="99"/>
        <v>13410702</v>
      </c>
      <c r="Q295" s="14">
        <f t="shared" si="99"/>
        <v>7304218.2000000002</v>
      </c>
      <c r="R295" s="14">
        <f t="shared" si="99"/>
        <v>6217027</v>
      </c>
      <c r="S295" s="14">
        <f t="shared" si="99"/>
        <v>1185007.06</v>
      </c>
      <c r="T295" s="14"/>
      <c r="U295" s="14"/>
      <c r="V295" s="14">
        <f t="shared" si="99"/>
        <v>16270373</v>
      </c>
      <c r="W295" s="14">
        <f t="shared" si="99"/>
        <v>6568470.7000000002</v>
      </c>
      <c r="X295" s="14">
        <f t="shared" si="99"/>
        <v>6579962.5999999996</v>
      </c>
      <c r="Y295" s="14">
        <f t="shared" si="99"/>
        <v>453921.92</v>
      </c>
    </row>
    <row r="296" spans="3:25">
      <c r="C296" s="14"/>
      <c r="D296" s="14"/>
      <c r="E296" s="14"/>
      <c r="F296" s="14"/>
      <c r="G296" s="14"/>
      <c r="H296" s="14"/>
      <c r="I296" s="14"/>
      <c r="J296" s="14"/>
      <c r="K296" s="14"/>
      <c r="L296" s="14"/>
      <c r="P296" s="14">
        <f t="shared" si="99"/>
        <v>11269198</v>
      </c>
      <c r="Q296" s="14">
        <f t="shared" si="99"/>
        <v>5821697.0999999996</v>
      </c>
      <c r="R296" s="14">
        <f t="shared" si="99"/>
        <v>4779583.2</v>
      </c>
      <c r="S296" s="14">
        <f t="shared" si="99"/>
        <v>855853.48</v>
      </c>
      <c r="T296" s="14"/>
      <c r="U296" s="14"/>
      <c r="V296" s="14">
        <f t="shared" si="99"/>
        <v>13855015</v>
      </c>
      <c r="W296" s="14">
        <f t="shared" si="99"/>
        <v>5422161.71</v>
      </c>
      <c r="X296" s="14">
        <f t="shared" si="99"/>
        <v>5364474.5</v>
      </c>
      <c r="Y296" s="14">
        <f t="shared" si="99"/>
        <v>338046.43</v>
      </c>
    </row>
    <row r="297" spans="3:25">
      <c r="C297" s="14"/>
      <c r="D297" s="14"/>
      <c r="E297" s="14"/>
      <c r="F297" s="14"/>
      <c r="G297" s="14"/>
      <c r="H297" s="14"/>
      <c r="I297" s="14"/>
      <c r="J297" s="14"/>
      <c r="K297" s="14"/>
      <c r="L297" s="14"/>
      <c r="P297" s="14">
        <f t="shared" si="99"/>
        <v>9347967</v>
      </c>
      <c r="Q297" s="14">
        <f t="shared" si="99"/>
        <v>4740416.8</v>
      </c>
      <c r="R297" s="14">
        <f t="shared" si="99"/>
        <v>3868509.6999999997</v>
      </c>
      <c r="S297" s="14">
        <f t="shared" si="99"/>
        <v>649456.82999999996</v>
      </c>
      <c r="T297" s="14"/>
      <c r="U297" s="14"/>
      <c r="V297" s="14">
        <f t="shared" si="99"/>
        <v>11980338</v>
      </c>
      <c r="W297" s="14">
        <f t="shared" si="99"/>
        <v>4599900.05</v>
      </c>
      <c r="X297" s="14">
        <f t="shared" si="99"/>
        <v>4384416.42</v>
      </c>
      <c r="Y297" s="14">
        <f t="shared" si="99"/>
        <v>249864.06</v>
      </c>
    </row>
    <row r="298" spans="3:25">
      <c r="C298" s="14"/>
      <c r="D298" s="14"/>
      <c r="E298" s="14"/>
      <c r="F298" s="14"/>
      <c r="G298" s="14"/>
      <c r="H298" s="14"/>
      <c r="I298" s="14"/>
      <c r="J298" s="14"/>
      <c r="K298" s="14"/>
      <c r="L298" s="14"/>
      <c r="P298" s="14">
        <f t="shared" si="99"/>
        <v>6928650</v>
      </c>
      <c r="Q298" s="14">
        <f t="shared" si="99"/>
        <v>3526527.26</v>
      </c>
      <c r="R298" s="14">
        <f t="shared" si="99"/>
        <v>2886062.89</v>
      </c>
      <c r="S298" s="14">
        <f t="shared" si="99"/>
        <v>446887.67600000004</v>
      </c>
      <c r="T298" s="14"/>
      <c r="U298" s="14"/>
      <c r="V298" s="14">
        <f t="shared" si="99"/>
        <v>9328402</v>
      </c>
      <c r="W298" s="14">
        <f t="shared" si="99"/>
        <v>3646218.79</v>
      </c>
      <c r="X298" s="14">
        <f t="shared" si="99"/>
        <v>3388209.68</v>
      </c>
      <c r="Y298" s="14">
        <f t="shared" si="99"/>
        <v>175442.58000000002</v>
      </c>
    </row>
    <row r="299" spans="3:25">
      <c r="C299" s="14"/>
      <c r="D299" s="14"/>
      <c r="E299" s="14"/>
      <c r="F299" s="14"/>
      <c r="G299" s="14"/>
      <c r="H299" s="14"/>
      <c r="I299" s="14"/>
      <c r="J299" s="14"/>
      <c r="K299" s="14"/>
      <c r="L299" s="14"/>
      <c r="P299" s="14">
        <f t="shared" si="99"/>
        <v>4717966</v>
      </c>
      <c r="Q299" s="14">
        <f t="shared" si="99"/>
        <v>2352344.38</v>
      </c>
      <c r="R299" s="14">
        <f t="shared" si="99"/>
        <v>2028062.68</v>
      </c>
      <c r="S299" s="14">
        <f t="shared" si="99"/>
        <v>286318.15600000002</v>
      </c>
      <c r="T299" s="14"/>
      <c r="U299" s="14"/>
      <c r="V299" s="14">
        <f t="shared" si="99"/>
        <v>6705012</v>
      </c>
      <c r="W299" s="14">
        <f t="shared" si="99"/>
        <v>2568023.87</v>
      </c>
      <c r="X299" s="14">
        <f t="shared" si="99"/>
        <v>2392661.81</v>
      </c>
      <c r="Y299" s="14">
        <f t="shared" si="99"/>
        <v>105957.83</v>
      </c>
    </row>
    <row r="300" spans="3:25">
      <c r="C300" s="14"/>
      <c r="D300" s="14"/>
      <c r="E300" s="14"/>
      <c r="F300" s="14"/>
      <c r="G300" s="14"/>
      <c r="H300" s="14"/>
      <c r="I300" s="14"/>
      <c r="J300" s="14"/>
      <c r="K300" s="14"/>
      <c r="L300" s="14"/>
      <c r="P300" s="14">
        <f t="shared" si="99"/>
        <v>2934013</v>
      </c>
      <c r="Q300" s="14">
        <f t="shared" si="99"/>
        <v>1342935.9030000002</v>
      </c>
      <c r="R300" s="14">
        <f t="shared" si="99"/>
        <v>1158910.4510000001</v>
      </c>
      <c r="S300" s="14">
        <f t="shared" si="99"/>
        <v>147558.579</v>
      </c>
      <c r="T300" s="14"/>
      <c r="U300" s="14"/>
      <c r="V300" s="14">
        <f t="shared" si="99"/>
        <v>4408804</v>
      </c>
      <c r="W300" s="14">
        <f t="shared" si="99"/>
        <v>1573504.36</v>
      </c>
      <c r="X300" s="14">
        <f t="shared" si="99"/>
        <v>1406027.0300000003</v>
      </c>
      <c r="Y300" s="14">
        <f t="shared" si="99"/>
        <v>56069.963999999993</v>
      </c>
    </row>
    <row r="301" spans="3:25">
      <c r="C301" s="14"/>
      <c r="D301" s="14"/>
      <c r="E301" s="14"/>
      <c r="F301" s="14"/>
      <c r="G301" s="14"/>
      <c r="H301" s="14"/>
      <c r="I301" s="14"/>
      <c r="J301" s="14"/>
      <c r="K301" s="14"/>
      <c r="L301" s="14"/>
      <c r="P301" s="14">
        <f t="shared" si="99"/>
        <v>1466503</v>
      </c>
      <c r="Q301" s="14">
        <f t="shared" si="99"/>
        <v>574287.50899999996</v>
      </c>
      <c r="R301" s="14">
        <f t="shared" si="99"/>
        <v>458126.152</v>
      </c>
      <c r="S301" s="14">
        <f t="shared" si="99"/>
        <v>52532.316999999995</v>
      </c>
      <c r="T301" s="14"/>
      <c r="U301" s="14"/>
      <c r="V301" s="14">
        <f t="shared" si="99"/>
        <v>2388787.4</v>
      </c>
      <c r="W301" s="14">
        <f t="shared" si="99"/>
        <v>743130.43800000008</v>
      </c>
      <c r="X301" s="14">
        <f t="shared" si="99"/>
        <v>624058.09299999988</v>
      </c>
      <c r="Y301" s="14">
        <f t="shared" si="99"/>
        <v>22905.942999999999</v>
      </c>
    </row>
    <row r="302" spans="3:25">
      <c r="C302" s="14"/>
      <c r="D302" s="14"/>
      <c r="E302" s="14"/>
      <c r="F302" s="14"/>
      <c r="G302" s="14"/>
      <c r="H302" s="14"/>
      <c r="I302" s="14"/>
      <c r="J302" s="14"/>
      <c r="K302" s="14"/>
      <c r="L302" s="14"/>
      <c r="P302" s="14">
        <f t="shared" si="99"/>
        <v>487504</v>
      </c>
      <c r="Q302" s="14">
        <f t="shared" si="99"/>
        <v>193609.75</v>
      </c>
      <c r="R302" s="14">
        <f t="shared" si="99"/>
        <v>156019.92700000003</v>
      </c>
      <c r="S302" s="14">
        <f t="shared" si="99"/>
        <v>15536.361000000001</v>
      </c>
      <c r="T302" s="14"/>
      <c r="U302" s="14"/>
      <c r="V302" s="14">
        <f t="shared" si="99"/>
        <v>924268.1</v>
      </c>
      <c r="W302" s="14">
        <f t="shared" si="99"/>
        <v>301088.772</v>
      </c>
      <c r="X302" s="14">
        <f t="shared" si="99"/>
        <v>237278.565</v>
      </c>
      <c r="Y302" s="14">
        <f t="shared" si="99"/>
        <v>7471.0149999999994</v>
      </c>
    </row>
    <row r="303" spans="3:25">
      <c r="C303" s="14"/>
      <c r="D303" s="14"/>
      <c r="E303" s="14"/>
      <c r="F303" s="14"/>
      <c r="G303" s="14"/>
      <c r="H303" s="14"/>
      <c r="I303" s="14"/>
      <c r="J303" s="14"/>
      <c r="K303" s="14"/>
      <c r="L303" s="14"/>
      <c r="P303" s="14">
        <f t="shared" si="99"/>
        <v>105824.18000000001</v>
      </c>
      <c r="Q303" s="14">
        <f t="shared" si="99"/>
        <v>42886.417000000001</v>
      </c>
      <c r="R303" s="14">
        <f t="shared" si="99"/>
        <v>34409.663</v>
      </c>
      <c r="S303" s="14">
        <f t="shared" si="99"/>
        <v>3049.6661999999997</v>
      </c>
      <c r="T303" s="14"/>
      <c r="U303" s="14"/>
      <c r="V303" s="14">
        <f t="shared" si="99"/>
        <v>239951.69</v>
      </c>
      <c r="W303" s="14">
        <f t="shared" si="99"/>
        <v>80502.819999999992</v>
      </c>
      <c r="X303" s="14">
        <f t="shared" si="99"/>
        <v>56903.761999999988</v>
      </c>
      <c r="Y303" s="14">
        <f t="shared" si="99"/>
        <v>1582.9377999999999</v>
      </c>
    </row>
    <row r="304" spans="3:25">
      <c r="C304" s="14"/>
      <c r="D304" s="14"/>
      <c r="E304" s="14"/>
      <c r="F304" s="14"/>
      <c r="G304" s="14"/>
      <c r="H304" s="14"/>
      <c r="I304" s="14"/>
      <c r="J304" s="14"/>
      <c r="K304" s="14"/>
      <c r="L304" s="14"/>
      <c r="P304" s="14">
        <f t="shared" si="99"/>
        <v>15928.887000000002</v>
      </c>
      <c r="Q304" s="14">
        <f t="shared" si="99"/>
        <v>6082.009</v>
      </c>
      <c r="R304" s="14">
        <f t="shared" si="99"/>
        <v>4367.0847000000003</v>
      </c>
      <c r="S304" s="14">
        <f t="shared" si="99"/>
        <v>393.0197</v>
      </c>
      <c r="T304" s="14"/>
      <c r="U304" s="14"/>
      <c r="V304" s="14">
        <f t="shared" si="99"/>
        <v>44166.28</v>
      </c>
      <c r="W304" s="14">
        <f t="shared" si="99"/>
        <v>13416.846999999998</v>
      </c>
      <c r="X304" s="14">
        <f t="shared" si="99"/>
        <v>7318.7857000000004</v>
      </c>
      <c r="Y304" s="14">
        <f t="shared" si="99"/>
        <v>161.09700000000001</v>
      </c>
    </row>
    <row r="305" spans="3:25">
      <c r="C305" s="14"/>
      <c r="D305" s="14"/>
      <c r="E305" s="14"/>
      <c r="F305" s="14"/>
      <c r="G305" s="14"/>
      <c r="H305" s="14"/>
      <c r="I305" s="14"/>
      <c r="J305" s="14"/>
      <c r="K305" s="14"/>
      <c r="L305" s="14"/>
      <c r="P305" s="14">
        <f t="shared" si="99"/>
        <v>1603.828</v>
      </c>
      <c r="Q305" s="14">
        <f t="shared" si="99"/>
        <v>636.20800000000008</v>
      </c>
      <c r="R305" s="14">
        <f t="shared" si="99"/>
        <v>161.09700000000001</v>
      </c>
      <c r="S305" s="14">
        <f t="shared" si="99"/>
        <v>64.566699999999997</v>
      </c>
      <c r="T305" s="14"/>
      <c r="U305" s="14"/>
      <c r="V305" s="14">
        <f t="shared" si="99"/>
        <v>4331.2359999999999</v>
      </c>
      <c r="W305" s="14">
        <f t="shared" si="99"/>
        <v>1221.9071999999999</v>
      </c>
      <c r="X305" s="14">
        <f t="shared" si="99"/>
        <v>547.85670000000005</v>
      </c>
      <c r="Y305" s="14">
        <f t="shared" si="99"/>
        <v>0</v>
      </c>
    </row>
    <row r="306" spans="3:25">
      <c r="P306" s="14"/>
      <c r="Q306" s="14"/>
      <c r="R306" s="14"/>
      <c r="S306" s="14"/>
      <c r="T306" s="14"/>
      <c r="U306" s="14"/>
      <c r="V306" s="14"/>
      <c r="W306" s="14"/>
      <c r="X306" s="14"/>
      <c r="Y306" s="14"/>
    </row>
    <row r="307" spans="3:25">
      <c r="P307" s="14"/>
      <c r="Q307" s="14"/>
      <c r="R307" s="14"/>
      <c r="S307" s="14"/>
      <c r="T307" s="14"/>
      <c r="U307" s="14"/>
      <c r="V307" s="14"/>
      <c r="W307" s="14"/>
      <c r="X307" s="14"/>
      <c r="Y307" s="14"/>
    </row>
    <row r="308" spans="3:25">
      <c r="P308" s="14"/>
      <c r="Q308" s="14"/>
      <c r="R308" s="14"/>
      <c r="S308" s="14"/>
      <c r="T308" s="14"/>
      <c r="U308" s="14"/>
      <c r="V308" s="14"/>
      <c r="W308" s="14"/>
      <c r="X308" s="14"/>
      <c r="Y308" s="14"/>
    </row>
  </sheetData>
  <mergeCells count="8">
    <mergeCell ref="A236:L236"/>
    <mergeCell ref="A1:L1"/>
    <mergeCell ref="N1:Y1"/>
    <mergeCell ref="AA1:AL1"/>
    <mergeCell ref="A48:L48"/>
    <mergeCell ref="A95:L95"/>
    <mergeCell ref="A142:L142"/>
    <mergeCell ref="A189:L189"/>
  </mergeCells>
  <phoneticPr fontId="23" type="noConversion"/>
  <pageMargins left="0.7" right="0.7" top="0.75" bottom="0.75" header="0.3" footer="0.3"/>
  <pageSetup paperSize="9" orientation="portrait" r:id="rId1"/>
  <legacy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V13"/>
  <sheetViews>
    <sheetView workbookViewId="0">
      <selection activeCell="L25" sqref="L25"/>
    </sheetView>
  </sheetViews>
  <sheetFormatPr defaultRowHeight="14.4"/>
  <sheetData>
    <row r="1" spans="1:22">
      <c r="A1" t="s">
        <v>178</v>
      </c>
      <c r="B1" t="s">
        <v>89</v>
      </c>
      <c r="C1" t="s">
        <v>90</v>
      </c>
      <c r="D1" t="s">
        <v>91</v>
      </c>
      <c r="E1" t="s">
        <v>92</v>
      </c>
      <c r="F1" t="s">
        <v>93</v>
      </c>
      <c r="G1" t="s">
        <v>94</v>
      </c>
      <c r="H1" t="s">
        <v>95</v>
      </c>
      <c r="I1" t="s">
        <v>96</v>
      </c>
      <c r="J1" t="s">
        <v>97</v>
      </c>
      <c r="K1" t="s">
        <v>98</v>
      </c>
      <c r="L1" t="s">
        <v>99</v>
      </c>
      <c r="M1" t="s">
        <v>100</v>
      </c>
      <c r="N1" t="s">
        <v>101</v>
      </c>
      <c r="O1" t="s">
        <v>102</v>
      </c>
      <c r="P1" t="s">
        <v>103</v>
      </c>
      <c r="Q1" t="s">
        <v>104</v>
      </c>
      <c r="R1" t="s">
        <v>105</v>
      </c>
      <c r="S1" t="s">
        <v>106</v>
      </c>
      <c r="T1" t="s">
        <v>107</v>
      </c>
      <c r="U1" t="s">
        <v>108</v>
      </c>
      <c r="V1" t="s">
        <v>109</v>
      </c>
    </row>
    <row r="2" spans="1:22">
      <c r="A2">
        <v>20</v>
      </c>
      <c r="B2" s="28">
        <v>0.08</v>
      </c>
      <c r="C2" s="32">
        <v>5.67E-2</v>
      </c>
      <c r="D2" s="33">
        <v>5.67E-2</v>
      </c>
      <c r="E2" s="32">
        <v>2.6599999999999999E-2</v>
      </c>
      <c r="F2" s="34">
        <v>2.6599999999999999E-2</v>
      </c>
      <c r="G2" s="34">
        <v>2.6599999999999999E-2</v>
      </c>
      <c r="H2" s="34">
        <v>2.6599999999999999E-2</v>
      </c>
      <c r="I2" s="34">
        <v>2.6599999999999999E-2</v>
      </c>
      <c r="J2" s="33">
        <v>2.6599999999999999E-2</v>
      </c>
      <c r="K2" s="32">
        <v>5.62E-2</v>
      </c>
      <c r="L2" s="34">
        <v>5.62E-2</v>
      </c>
      <c r="M2" s="34">
        <v>5.62E-2</v>
      </c>
      <c r="N2" s="34">
        <v>5.62E-2</v>
      </c>
      <c r="O2" s="32">
        <v>0.13</v>
      </c>
      <c r="P2" s="34">
        <f>O2+0.005</f>
        <v>0.13500000000000001</v>
      </c>
      <c r="Q2" s="34">
        <f t="shared" ref="Q2:V2" si="0">P2+0.005</f>
        <v>0.14000000000000001</v>
      </c>
      <c r="R2" s="34">
        <f t="shared" si="0"/>
        <v>0.14500000000000002</v>
      </c>
      <c r="S2" s="34">
        <f t="shared" si="0"/>
        <v>0.15000000000000002</v>
      </c>
      <c r="T2" s="34">
        <f t="shared" si="0"/>
        <v>0.15500000000000003</v>
      </c>
      <c r="U2" s="34">
        <f t="shared" si="0"/>
        <v>0.16000000000000003</v>
      </c>
      <c r="V2" s="33">
        <f t="shared" si="0"/>
        <v>0.16500000000000004</v>
      </c>
    </row>
    <row r="3" spans="1:22">
      <c r="A3">
        <v>30</v>
      </c>
      <c r="B3" s="29">
        <v>0.05</v>
      </c>
      <c r="C3" s="35">
        <v>3.6600000000000001E-2</v>
      </c>
      <c r="D3" s="24">
        <v>3.6600000000000001E-2</v>
      </c>
      <c r="E3" s="35">
        <v>1.7100000000000001E-2</v>
      </c>
      <c r="F3">
        <v>1.7100000000000001E-2</v>
      </c>
      <c r="G3">
        <v>1.7100000000000001E-2</v>
      </c>
      <c r="H3">
        <v>1.7100000000000001E-2</v>
      </c>
      <c r="I3">
        <v>1.7100000000000001E-2</v>
      </c>
      <c r="J3" s="24">
        <v>1.7100000000000001E-2</v>
      </c>
      <c r="K3" s="35">
        <v>3.73E-2</v>
      </c>
      <c r="L3">
        <v>3.73E-2</v>
      </c>
      <c r="M3">
        <v>3.73E-2</v>
      </c>
      <c r="N3">
        <v>3.73E-2</v>
      </c>
      <c r="O3" s="35">
        <v>0.11</v>
      </c>
      <c r="P3">
        <f t="shared" ref="P3:V10" si="1">O3+0.005</f>
        <v>0.115</v>
      </c>
      <c r="Q3">
        <f t="shared" si="1"/>
        <v>0.12000000000000001</v>
      </c>
      <c r="R3">
        <f t="shared" si="1"/>
        <v>0.125</v>
      </c>
      <c r="S3">
        <f t="shared" si="1"/>
        <v>0.13</v>
      </c>
      <c r="T3">
        <f t="shared" si="1"/>
        <v>0.13500000000000001</v>
      </c>
      <c r="U3">
        <f t="shared" si="1"/>
        <v>0.14000000000000001</v>
      </c>
      <c r="V3" s="24">
        <f t="shared" si="1"/>
        <v>0.14500000000000002</v>
      </c>
    </row>
    <row r="4" spans="1:22">
      <c r="A4">
        <v>40</v>
      </c>
      <c r="B4" s="29">
        <v>0.03</v>
      </c>
      <c r="C4" s="35">
        <v>2.4299999999999999E-2</v>
      </c>
      <c r="D4" s="24">
        <v>2.4299999999999999E-2</v>
      </c>
      <c r="E4" s="35">
        <v>1.0999999999999999E-2</v>
      </c>
      <c r="F4">
        <v>1.0999999999999999E-2</v>
      </c>
      <c r="G4">
        <v>1.0999999999999999E-2</v>
      </c>
      <c r="H4">
        <v>1.0999999999999999E-2</v>
      </c>
      <c r="I4">
        <v>1.0999999999999999E-2</v>
      </c>
      <c r="J4" s="24">
        <v>1.0999999999999999E-2</v>
      </c>
      <c r="K4" s="35">
        <v>2.52E-2</v>
      </c>
      <c r="L4">
        <v>2.52E-2</v>
      </c>
      <c r="M4">
        <v>2.52E-2</v>
      </c>
      <c r="N4">
        <v>2.52E-2</v>
      </c>
      <c r="O4" s="35">
        <v>0.09</v>
      </c>
      <c r="P4">
        <f t="shared" si="1"/>
        <v>9.5000000000000001E-2</v>
      </c>
      <c r="Q4">
        <f t="shared" si="1"/>
        <v>0.1</v>
      </c>
      <c r="R4">
        <f t="shared" si="1"/>
        <v>0.10500000000000001</v>
      </c>
      <c r="S4">
        <f t="shared" si="1"/>
        <v>0.11000000000000001</v>
      </c>
      <c r="T4">
        <f t="shared" si="1"/>
        <v>0.11500000000000002</v>
      </c>
      <c r="U4">
        <f t="shared" si="1"/>
        <v>0.12000000000000002</v>
      </c>
      <c r="V4" s="24">
        <f t="shared" si="1"/>
        <v>0.12500000000000003</v>
      </c>
    </row>
    <row r="5" spans="1:22">
      <c r="A5">
        <v>50</v>
      </c>
      <c r="B5" s="29">
        <v>1.4999999999999999E-2</v>
      </c>
      <c r="C5" s="35">
        <v>1.55E-2</v>
      </c>
      <c r="D5" s="24">
        <v>1.55E-2</v>
      </c>
      <c r="E5" s="35">
        <v>6.4999999999999997E-3</v>
      </c>
      <c r="F5">
        <v>6.4999999999999997E-3</v>
      </c>
      <c r="G5">
        <v>6.4999999999999997E-3</v>
      </c>
      <c r="H5">
        <v>6.4999999999999997E-3</v>
      </c>
      <c r="I5">
        <v>6.4999999999999997E-3</v>
      </c>
      <c r="J5" s="24">
        <v>6.4999999999999997E-3</v>
      </c>
      <c r="K5" s="35">
        <v>1.7100000000000001E-2</v>
      </c>
      <c r="L5">
        <v>1.7100000000000001E-2</v>
      </c>
      <c r="M5">
        <v>1.7100000000000001E-2</v>
      </c>
      <c r="N5">
        <v>1.7100000000000001E-2</v>
      </c>
      <c r="O5" s="35">
        <v>7.0000000000000007E-2</v>
      </c>
      <c r="P5">
        <f t="shared" si="1"/>
        <v>7.5000000000000011E-2</v>
      </c>
      <c r="Q5">
        <f t="shared" si="1"/>
        <v>8.0000000000000016E-2</v>
      </c>
      <c r="R5">
        <f t="shared" si="1"/>
        <v>8.500000000000002E-2</v>
      </c>
      <c r="S5">
        <f t="shared" si="1"/>
        <v>9.0000000000000024E-2</v>
      </c>
      <c r="T5">
        <f t="shared" si="1"/>
        <v>9.5000000000000029E-2</v>
      </c>
      <c r="U5">
        <f t="shared" si="1"/>
        <v>0.10000000000000003</v>
      </c>
      <c r="V5" s="24">
        <f t="shared" si="1"/>
        <v>0.10500000000000004</v>
      </c>
    </row>
    <row r="6" spans="1:22">
      <c r="A6">
        <v>60</v>
      </c>
      <c r="B6" s="29">
        <v>0.01</v>
      </c>
      <c r="C6" s="35">
        <v>8.2000000000000007E-3</v>
      </c>
      <c r="D6" s="24">
        <v>8.2000000000000007E-3</v>
      </c>
      <c r="E6" s="35">
        <v>4.0000000000000001E-3</v>
      </c>
      <c r="F6">
        <v>4.0000000000000001E-3</v>
      </c>
      <c r="G6">
        <v>4.0000000000000001E-3</v>
      </c>
      <c r="H6">
        <v>4.0000000000000001E-3</v>
      </c>
      <c r="I6">
        <v>4.0000000000000001E-3</v>
      </c>
      <c r="J6" s="24">
        <v>4.0000000000000001E-3</v>
      </c>
      <c r="K6" s="35">
        <v>1.18E-2</v>
      </c>
      <c r="L6">
        <v>1.18E-2</v>
      </c>
      <c r="M6">
        <v>1.18E-2</v>
      </c>
      <c r="N6">
        <v>1.18E-2</v>
      </c>
      <c r="O6" s="35">
        <v>0.06</v>
      </c>
      <c r="P6">
        <f t="shared" si="1"/>
        <v>6.5000000000000002E-2</v>
      </c>
      <c r="Q6">
        <f t="shared" si="1"/>
        <v>7.0000000000000007E-2</v>
      </c>
      <c r="R6">
        <f t="shared" si="1"/>
        <v>7.5000000000000011E-2</v>
      </c>
      <c r="S6">
        <f t="shared" si="1"/>
        <v>8.0000000000000016E-2</v>
      </c>
      <c r="T6">
        <f t="shared" si="1"/>
        <v>8.500000000000002E-2</v>
      </c>
      <c r="U6">
        <f t="shared" si="1"/>
        <v>9.0000000000000024E-2</v>
      </c>
      <c r="V6" s="24">
        <f t="shared" si="1"/>
        <v>9.5000000000000029E-2</v>
      </c>
    </row>
    <row r="7" spans="1:22">
      <c r="A7" s="36">
        <v>70</v>
      </c>
      <c r="B7" s="29">
        <v>4.0000000000000001E-3</v>
      </c>
      <c r="C7" s="35">
        <v>2.3E-3</v>
      </c>
      <c r="D7" s="24">
        <v>2.3E-3</v>
      </c>
      <c r="E7" s="35">
        <v>1.6000000000000001E-3</v>
      </c>
      <c r="F7">
        <v>1.6000000000000001E-3</v>
      </c>
      <c r="G7">
        <v>1.6000000000000001E-3</v>
      </c>
      <c r="H7">
        <v>1.6000000000000001E-3</v>
      </c>
      <c r="I7">
        <v>1.6000000000000001E-3</v>
      </c>
      <c r="J7" s="24">
        <v>1.6000000000000001E-3</v>
      </c>
      <c r="K7" s="35">
        <v>8.3000000000000001E-3</v>
      </c>
      <c r="L7">
        <v>8.3000000000000001E-3</v>
      </c>
      <c r="M7">
        <v>8.3000000000000001E-3</v>
      </c>
      <c r="N7">
        <v>8.3000000000000001E-3</v>
      </c>
      <c r="O7" s="35">
        <v>0.05</v>
      </c>
      <c r="P7">
        <f t="shared" si="1"/>
        <v>5.5E-2</v>
      </c>
      <c r="Q7">
        <f t="shared" si="1"/>
        <v>0.06</v>
      </c>
      <c r="R7">
        <f t="shared" si="1"/>
        <v>6.5000000000000002E-2</v>
      </c>
      <c r="S7">
        <f>R7+0.005</f>
        <v>7.0000000000000007E-2</v>
      </c>
      <c r="T7">
        <f t="shared" si="1"/>
        <v>7.5000000000000011E-2</v>
      </c>
      <c r="U7">
        <f t="shared" si="1"/>
        <v>8.0000000000000016E-2</v>
      </c>
      <c r="V7" s="24">
        <f t="shared" si="1"/>
        <v>8.500000000000002E-2</v>
      </c>
    </row>
    <row r="8" spans="1:22">
      <c r="A8">
        <v>80</v>
      </c>
      <c r="B8" s="29">
        <v>2E-3</v>
      </c>
      <c r="C8" s="35">
        <v>1E-3</v>
      </c>
      <c r="D8" s="24">
        <v>1E-3</v>
      </c>
      <c r="E8" s="35">
        <v>8.0000000000000004E-4</v>
      </c>
      <c r="F8">
        <v>8.0000000000000004E-4</v>
      </c>
      <c r="G8">
        <v>8.0000000000000004E-4</v>
      </c>
      <c r="H8">
        <v>8.0000000000000004E-4</v>
      </c>
      <c r="I8">
        <v>8.0000000000000004E-4</v>
      </c>
      <c r="J8" s="24">
        <v>8.0000000000000004E-4</v>
      </c>
      <c r="K8" s="35">
        <v>6.0000000000000001E-3</v>
      </c>
      <c r="L8">
        <v>6.0000000000000001E-3</v>
      </c>
      <c r="M8">
        <v>6.0000000000000001E-3</v>
      </c>
      <c r="N8">
        <v>6.0000000000000001E-3</v>
      </c>
      <c r="O8" s="35">
        <v>0.04</v>
      </c>
      <c r="P8">
        <f t="shared" si="1"/>
        <v>4.4999999999999998E-2</v>
      </c>
      <c r="Q8">
        <f t="shared" si="1"/>
        <v>4.9999999999999996E-2</v>
      </c>
      <c r="R8">
        <f t="shared" si="1"/>
        <v>5.4999999999999993E-2</v>
      </c>
      <c r="S8">
        <f t="shared" si="1"/>
        <v>5.9999999999999991E-2</v>
      </c>
      <c r="T8">
        <f t="shared" si="1"/>
        <v>6.4999999999999988E-2</v>
      </c>
      <c r="U8">
        <f t="shared" si="1"/>
        <v>6.9999999999999993E-2</v>
      </c>
      <c r="V8" s="24">
        <f t="shared" si="1"/>
        <v>7.4999999999999997E-2</v>
      </c>
    </row>
    <row r="9" spans="1:22">
      <c r="A9">
        <v>90</v>
      </c>
      <c r="B9" s="29">
        <v>8.0000000000000004E-4</v>
      </c>
      <c r="C9" s="35">
        <v>8.0000000000000004E-4</v>
      </c>
      <c r="D9" s="24">
        <v>8.0000000000000004E-4</v>
      </c>
      <c r="E9" s="35">
        <v>5.0000000000000001E-4</v>
      </c>
      <c r="F9">
        <v>5.0000000000000001E-4</v>
      </c>
      <c r="G9">
        <v>5.0000000000000001E-4</v>
      </c>
      <c r="H9">
        <v>5.0000000000000001E-4</v>
      </c>
      <c r="I9">
        <v>5.0000000000000001E-4</v>
      </c>
      <c r="J9" s="24">
        <v>5.0000000000000001E-4</v>
      </c>
      <c r="K9" s="35">
        <v>4.4999999999999997E-3</v>
      </c>
      <c r="L9">
        <v>4.4999999999999997E-3</v>
      </c>
      <c r="M9">
        <v>4.4999999999999997E-3</v>
      </c>
      <c r="N9">
        <v>4.4999999999999997E-3</v>
      </c>
      <c r="O9" s="35">
        <v>3.5000000000000003E-2</v>
      </c>
      <c r="P9">
        <f t="shared" si="1"/>
        <v>0.04</v>
      </c>
      <c r="Q9">
        <f t="shared" si="1"/>
        <v>4.4999999999999998E-2</v>
      </c>
      <c r="R9">
        <f t="shared" si="1"/>
        <v>4.9999999999999996E-2</v>
      </c>
      <c r="S9">
        <f t="shared" si="1"/>
        <v>5.4999999999999993E-2</v>
      </c>
      <c r="T9">
        <f t="shared" si="1"/>
        <v>5.9999999999999991E-2</v>
      </c>
      <c r="U9">
        <f t="shared" si="1"/>
        <v>6.4999999999999988E-2</v>
      </c>
      <c r="V9" s="24">
        <f t="shared" si="1"/>
        <v>6.9999999999999993E-2</v>
      </c>
    </row>
    <row r="10" spans="1:22">
      <c r="A10">
        <v>100</v>
      </c>
      <c r="B10" s="37">
        <v>6.9999999999999999E-4</v>
      </c>
      <c r="C10" s="38">
        <v>6.9999999999999999E-4</v>
      </c>
      <c r="D10" s="39">
        <v>6.9999999999999999E-4</v>
      </c>
      <c r="E10" s="38">
        <v>2.9999999999999997E-4</v>
      </c>
      <c r="F10" s="40">
        <v>2.9999999999999997E-4</v>
      </c>
      <c r="G10" s="40">
        <v>2.9999999999999997E-4</v>
      </c>
      <c r="H10" s="40">
        <v>2.9999999999999997E-4</v>
      </c>
      <c r="I10" s="40">
        <v>2.9999999999999997E-4</v>
      </c>
      <c r="J10" s="39">
        <v>2.9999999999999997E-4</v>
      </c>
      <c r="K10" s="38">
        <v>3.5000000000000001E-3</v>
      </c>
      <c r="L10" s="40">
        <v>3.5000000000000001E-3</v>
      </c>
      <c r="M10" s="40">
        <v>3.5000000000000001E-3</v>
      </c>
      <c r="N10" s="40">
        <v>3.5000000000000001E-3</v>
      </c>
      <c r="O10" s="38">
        <v>0.03</v>
      </c>
      <c r="P10" s="40">
        <f t="shared" si="1"/>
        <v>3.4999999999999996E-2</v>
      </c>
      <c r="Q10" s="40">
        <f t="shared" si="1"/>
        <v>3.9999999999999994E-2</v>
      </c>
      <c r="R10" s="40">
        <f t="shared" si="1"/>
        <v>4.4999999999999991E-2</v>
      </c>
      <c r="S10" s="40">
        <f t="shared" si="1"/>
        <v>4.9999999999999989E-2</v>
      </c>
      <c r="T10" s="40">
        <f t="shared" si="1"/>
        <v>5.4999999999999986E-2</v>
      </c>
      <c r="U10" s="40">
        <f t="shared" si="1"/>
        <v>5.9999999999999984E-2</v>
      </c>
      <c r="V10" s="39">
        <f t="shared" si="1"/>
        <v>6.4999999999999988E-2</v>
      </c>
    </row>
    <row r="12" spans="1:22">
      <c r="A12" t="s">
        <v>179</v>
      </c>
      <c r="B12">
        <v>1.5349999999999999E-2</v>
      </c>
      <c r="C12">
        <v>5.7499999999999999E-3</v>
      </c>
      <c r="D12">
        <v>5.1500000000000001E-3</v>
      </c>
      <c r="E12">
        <v>7.1999999999999998E-3</v>
      </c>
      <c r="F12">
        <v>9.1999999999999998E-3</v>
      </c>
      <c r="G12">
        <v>1.1350000000000001E-2</v>
      </c>
      <c r="H12">
        <v>1.3649999999999999E-2</v>
      </c>
      <c r="I12">
        <v>1.585E-2</v>
      </c>
      <c r="J12">
        <v>1.975E-2</v>
      </c>
      <c r="K12">
        <v>2.7400000000000001E-2</v>
      </c>
      <c r="L12">
        <v>4.0099999999999997E-2</v>
      </c>
      <c r="M12">
        <v>5.9800000000000006E-2</v>
      </c>
      <c r="N12">
        <v>9.0049999999999991E-2</v>
      </c>
      <c r="O12">
        <v>0.1381</v>
      </c>
      <c r="P12">
        <v>0.21085000000000001</v>
      </c>
      <c r="Q12">
        <v>0.30754999999999999</v>
      </c>
      <c r="R12">
        <v>0.42730000000000001</v>
      </c>
      <c r="S12">
        <v>0.56079999999999997</v>
      </c>
      <c r="T12">
        <v>0.69609999999999994</v>
      </c>
      <c r="U12">
        <v>0.8025500000000001</v>
      </c>
      <c r="V12">
        <v>0.86695</v>
      </c>
    </row>
    <row r="13" spans="1:22">
      <c r="A13" t="s">
        <v>180</v>
      </c>
      <c r="B13">
        <v>1.1349999999999999E-2</v>
      </c>
      <c r="C13">
        <v>3.4499999999999999E-3</v>
      </c>
      <c r="D13">
        <v>2.8500000000000001E-3</v>
      </c>
      <c r="E13">
        <v>5.5999999999999999E-3</v>
      </c>
      <c r="F13">
        <v>7.6E-3</v>
      </c>
      <c r="G13">
        <v>9.75E-3</v>
      </c>
      <c r="H13">
        <v>1.2049999999999998E-2</v>
      </c>
      <c r="I13">
        <v>1.4249999999999999E-2</v>
      </c>
      <c r="J13">
        <v>1.8149999999999999E-2</v>
      </c>
      <c r="K13">
        <v>1.9099999999999999E-2</v>
      </c>
      <c r="L13">
        <v>3.1799999999999995E-2</v>
      </c>
      <c r="M13">
        <v>5.1500000000000004E-2</v>
      </c>
      <c r="N13">
        <v>8.1749999999999989E-2</v>
      </c>
      <c r="O13">
        <v>8.8099999999999998E-2</v>
      </c>
      <c r="P13">
        <v>0.16084999999999999</v>
      </c>
      <c r="Q13">
        <v>0.25755</v>
      </c>
      <c r="R13">
        <v>0.37730000000000002</v>
      </c>
      <c r="S13">
        <v>0.51079999999999992</v>
      </c>
      <c r="T13">
        <v>0.6460999999999999</v>
      </c>
      <c r="U13">
        <v>0.75255000000000005</v>
      </c>
      <c r="V13">
        <v>0.81694999999999995</v>
      </c>
    </row>
  </sheetData>
  <phoneticPr fontId="23"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F7AE5B-F9A7-4EA8-8D55-61A6797D1EA8}">
  <dimension ref="A1:V11"/>
  <sheetViews>
    <sheetView workbookViewId="0">
      <selection activeCell="E24" sqref="E24"/>
    </sheetView>
  </sheetViews>
  <sheetFormatPr defaultRowHeight="14.4"/>
  <cols>
    <col min="2" max="13" width="9.5546875" customWidth="1"/>
    <col min="14" max="14" width="27.44140625" bestFit="1" customWidth="1"/>
    <col min="15" max="22" width="9.5546875" customWidth="1"/>
  </cols>
  <sheetData>
    <row r="1" spans="1:22">
      <c r="A1" s="66"/>
      <c r="B1" s="66" t="s">
        <v>365</v>
      </c>
      <c r="C1" s="66" t="s">
        <v>366</v>
      </c>
      <c r="D1" s="66" t="s">
        <v>367</v>
      </c>
      <c r="E1" s="66" t="s">
        <v>368</v>
      </c>
      <c r="F1" s="66" t="s">
        <v>369</v>
      </c>
      <c r="G1" s="66" t="s">
        <v>370</v>
      </c>
      <c r="H1" s="66" t="s">
        <v>371</v>
      </c>
      <c r="I1" s="66" t="s">
        <v>372</v>
      </c>
      <c r="J1" s="66" t="s">
        <v>373</v>
      </c>
      <c r="K1" s="66" t="s">
        <v>374</v>
      </c>
      <c r="L1" s="66" t="s">
        <v>375</v>
      </c>
      <c r="M1" s="66" t="s">
        <v>376</v>
      </c>
      <c r="N1" s="66" t="s">
        <v>377</v>
      </c>
      <c r="O1" s="66" t="s">
        <v>378</v>
      </c>
      <c r="P1" s="66" t="s">
        <v>379</v>
      </c>
      <c r="Q1" s="66" t="s">
        <v>380</v>
      </c>
      <c r="R1" s="66" t="s">
        <v>381</v>
      </c>
      <c r="S1" s="66" t="s">
        <v>382</v>
      </c>
      <c r="T1" s="66" t="s">
        <v>383</v>
      </c>
      <c r="U1" s="66" t="s">
        <v>384</v>
      </c>
      <c r="V1" s="66" t="s">
        <v>385</v>
      </c>
    </row>
    <row r="2" spans="1:22">
      <c r="A2" s="66" t="s">
        <v>386</v>
      </c>
      <c r="B2" s="69">
        <v>4.7121499999999998E-4</v>
      </c>
      <c r="C2" s="69">
        <v>-1.86121E-4</v>
      </c>
      <c r="D2" s="69">
        <v>-7.68665E-5</v>
      </c>
      <c r="E2" s="69">
        <v>1.3296299999999999E-4</v>
      </c>
      <c r="F2" s="69">
        <v>3.3623000000000002E-4</v>
      </c>
      <c r="G2" s="69">
        <v>3.0680600000000002E-4</v>
      </c>
      <c r="H2" s="69">
        <v>3.4588899999999999E-4</v>
      </c>
      <c r="I2" s="69">
        <v>4.5281299999999999E-4</v>
      </c>
      <c r="J2" s="69">
        <v>5.8671500000000002E-4</v>
      </c>
      <c r="K2" s="69">
        <v>5.6039900000000005E-4</v>
      </c>
      <c r="L2" s="69">
        <v>8.9225399999999999E-4</v>
      </c>
      <c r="M2" s="69">
        <v>1.0093299999999999E-3</v>
      </c>
      <c r="N2" s="69">
        <v>-1.15189E-3</v>
      </c>
      <c r="O2" s="69">
        <v>-4.7784400000000001E-3</v>
      </c>
      <c r="P2" s="69">
        <v>-1.2587599999999999E-2</v>
      </c>
      <c r="Q2" s="69">
        <v>-3.2578799999999998E-2</v>
      </c>
      <c r="R2" s="69">
        <v>-1.8793899999999999E-2</v>
      </c>
      <c r="S2" s="69">
        <v>-0.16808999999999999</v>
      </c>
      <c r="T2" s="69">
        <v>-0.331592</v>
      </c>
      <c r="U2" s="69">
        <v>-0.21146799999999999</v>
      </c>
      <c r="V2" s="69">
        <v>-1.7415900000000002E-2</v>
      </c>
    </row>
    <row r="3" spans="1:22">
      <c r="A3" s="66" t="s">
        <v>387</v>
      </c>
      <c r="B3" s="69">
        <v>6.0384399999999998E-2</v>
      </c>
      <c r="C3" s="69">
        <v>461.80099999999999</v>
      </c>
      <c r="D3" s="69">
        <v>912.577</v>
      </c>
      <c r="E3" s="69">
        <v>1355.28</v>
      </c>
      <c r="F3" s="69">
        <v>1477.98</v>
      </c>
      <c r="G3" s="69">
        <v>1545.42</v>
      </c>
      <c r="H3" s="69">
        <v>1815.52</v>
      </c>
      <c r="I3" s="69">
        <v>1520.19</v>
      </c>
      <c r="J3" s="69">
        <v>1436.06</v>
      </c>
      <c r="K3" s="69">
        <v>2365.77</v>
      </c>
      <c r="L3" s="69">
        <v>2878.79</v>
      </c>
      <c r="M3" s="69">
        <v>3952.7</v>
      </c>
      <c r="N3" s="69">
        <v>3570.25</v>
      </c>
      <c r="O3" s="69">
        <v>2016.86</v>
      </c>
      <c r="P3" s="69">
        <v>1910.46</v>
      </c>
      <c r="Q3" s="69">
        <v>926.37900000000002</v>
      </c>
      <c r="R3" s="69">
        <v>13819.8</v>
      </c>
      <c r="S3" s="69">
        <v>3276.25</v>
      </c>
      <c r="T3" s="69">
        <v>7118.67</v>
      </c>
      <c r="U3" s="69">
        <v>13214</v>
      </c>
      <c r="V3" s="69">
        <v>9121.06</v>
      </c>
    </row>
    <row r="4" spans="1:22">
      <c r="A4" s="66" t="s">
        <v>388</v>
      </c>
      <c r="B4" s="69">
        <v>-3.44922</v>
      </c>
      <c r="C4" s="69">
        <v>-1.75539</v>
      </c>
      <c r="D4" s="69">
        <v>-1.75366</v>
      </c>
      <c r="E4" s="69">
        <v>-1.8424100000000001</v>
      </c>
      <c r="F4" s="69">
        <v>-1.8965399999999999</v>
      </c>
      <c r="G4" s="69">
        <v>-1.8638999999999999</v>
      </c>
      <c r="H4" s="69">
        <v>-1.85398</v>
      </c>
      <c r="I4" s="69">
        <v>-1.87063</v>
      </c>
      <c r="J4" s="69">
        <v>-1.87805</v>
      </c>
      <c r="K4" s="69">
        <v>-1.7974000000000001</v>
      </c>
      <c r="L4" s="69">
        <v>-1.79172</v>
      </c>
      <c r="M4" s="69">
        <v>-1.7048000000000001</v>
      </c>
      <c r="N4" s="69">
        <v>-1.5071300000000001</v>
      </c>
      <c r="O4" s="69">
        <v>-1.35385</v>
      </c>
      <c r="P4" s="69">
        <v>-1.20004</v>
      </c>
      <c r="Q4" s="69">
        <v>-0.99476100000000001</v>
      </c>
      <c r="R4" s="69">
        <v>-1.30636</v>
      </c>
      <c r="S4" s="69">
        <v>-0.64527199999999996</v>
      </c>
      <c r="T4" s="69">
        <v>-0.48113800000000001</v>
      </c>
      <c r="U4" s="69">
        <v>-0.50364399999999998</v>
      </c>
      <c r="V4" s="69">
        <v>-0.47609499999999999</v>
      </c>
    </row>
    <row r="5" spans="1:22">
      <c r="A5" s="66" t="s">
        <v>389</v>
      </c>
      <c r="B5" s="69">
        <v>1.72915</v>
      </c>
      <c r="C5" s="69">
        <v>-4.6098800000000004</v>
      </c>
      <c r="D5" s="69">
        <v>-5.2742800000000001</v>
      </c>
      <c r="E5" s="69">
        <v>-4.9871600000000003</v>
      </c>
      <c r="F5" s="69">
        <v>-4.67178</v>
      </c>
      <c r="G5" s="69">
        <v>-4.7464500000000003</v>
      </c>
      <c r="H5" s="69">
        <v>-4.7964200000000003</v>
      </c>
      <c r="I5" s="69">
        <v>-4.5357500000000002</v>
      </c>
      <c r="J5" s="69">
        <v>-4.3248300000000004</v>
      </c>
      <c r="K5" s="69">
        <v>-4.6960899999999999</v>
      </c>
      <c r="L5" s="69">
        <v>-4.6185999999999998</v>
      </c>
      <c r="M5" s="69">
        <v>-4.9375200000000001</v>
      </c>
      <c r="N5" s="69">
        <v>-5.4714499999999999</v>
      </c>
      <c r="O5" s="69">
        <v>-5.5914599999999997</v>
      </c>
      <c r="P5" s="69">
        <v>-6.1560100000000002</v>
      </c>
      <c r="Q5" s="69">
        <v>-6.6547400000000003</v>
      </c>
      <c r="R5" s="69">
        <v>-6.3597900000000003</v>
      </c>
      <c r="S5" s="69">
        <v>-11.713200000000001</v>
      </c>
      <c r="T5" s="69">
        <v>-17.017299999999999</v>
      </c>
      <c r="U5" s="69">
        <v>-17.402999999999999</v>
      </c>
      <c r="V5" s="69">
        <v>-18.081</v>
      </c>
    </row>
    <row r="6" spans="1:22">
      <c r="A6" s="67"/>
      <c r="B6" s="67"/>
      <c r="C6" s="67"/>
      <c r="D6" s="67"/>
      <c r="E6" s="67"/>
      <c r="F6" s="67"/>
      <c r="G6" s="67"/>
      <c r="H6" s="67"/>
      <c r="I6" s="67"/>
      <c r="J6" s="67"/>
      <c r="K6" s="67"/>
      <c r="L6" s="67"/>
      <c r="M6" s="67"/>
      <c r="N6" s="67"/>
      <c r="O6" s="67"/>
      <c r="P6" s="67"/>
      <c r="Q6" s="67"/>
      <c r="R6" s="67"/>
      <c r="S6" s="67"/>
      <c r="T6" s="67"/>
      <c r="U6" s="67"/>
      <c r="V6" s="67"/>
    </row>
    <row r="7" spans="1:22">
      <c r="A7" s="66"/>
      <c r="B7" s="66" t="s">
        <v>390</v>
      </c>
      <c r="C7" s="66" t="s">
        <v>391</v>
      </c>
      <c r="D7" s="66" t="s">
        <v>392</v>
      </c>
      <c r="E7" s="66" t="s">
        <v>393</v>
      </c>
      <c r="F7" s="66" t="s">
        <v>394</v>
      </c>
      <c r="G7" s="66" t="s">
        <v>395</v>
      </c>
      <c r="H7" s="66" t="s">
        <v>396</v>
      </c>
      <c r="I7" s="66" t="s">
        <v>397</v>
      </c>
      <c r="J7" s="66" t="s">
        <v>398</v>
      </c>
      <c r="K7" s="66" t="s">
        <v>399</v>
      </c>
      <c r="L7" s="66" t="s">
        <v>400</v>
      </c>
      <c r="M7" s="66" t="s">
        <v>401</v>
      </c>
      <c r="N7" s="66" t="s">
        <v>402</v>
      </c>
      <c r="O7" s="66" t="s">
        <v>403</v>
      </c>
      <c r="P7" s="66" t="s">
        <v>404</v>
      </c>
      <c r="Q7" s="66" t="s">
        <v>405</v>
      </c>
      <c r="R7" s="66" t="s">
        <v>406</v>
      </c>
      <c r="S7" s="66" t="s">
        <v>407</v>
      </c>
      <c r="T7" s="66" t="s">
        <v>408</v>
      </c>
      <c r="U7" s="66" t="s">
        <v>409</v>
      </c>
      <c r="V7" s="66" t="s">
        <v>410</v>
      </c>
    </row>
    <row r="8" spans="1:22">
      <c r="A8" s="66" t="s">
        <v>386</v>
      </c>
      <c r="B8" s="69">
        <v>-5.8492700000000003E-5</v>
      </c>
      <c r="C8" s="69">
        <v>-7.32123E-4</v>
      </c>
      <c r="D8" s="69">
        <v>-3.2778400000000002E-4</v>
      </c>
      <c r="E8" s="69">
        <v>-3.3343000000000001E-4</v>
      </c>
      <c r="F8" s="69">
        <v>-2.8569199999999999E-4</v>
      </c>
      <c r="G8" s="69">
        <v>-1.82898E-4</v>
      </c>
      <c r="H8" s="69">
        <v>-4.5696399999999998E-5</v>
      </c>
      <c r="I8" s="69">
        <v>1.59498E-4</v>
      </c>
      <c r="J8" s="69">
        <v>4.53778E-4</v>
      </c>
      <c r="K8" s="69">
        <v>6.0467799999999999E-4</v>
      </c>
      <c r="L8" s="69">
        <v>1.0624499999999999E-3</v>
      </c>
      <c r="M8" s="69">
        <v>1.3298299999999999E-3</v>
      </c>
      <c r="N8" s="69">
        <v>1.3326200000000001E-3</v>
      </c>
      <c r="O8" s="69">
        <v>2.1345299999999999E-3</v>
      </c>
      <c r="P8" s="69">
        <v>3.3933700000000002E-3</v>
      </c>
      <c r="Q8" s="69">
        <v>6.2394399999999997E-3</v>
      </c>
      <c r="R8" s="69">
        <v>1.20705E-2</v>
      </c>
      <c r="S8" s="69">
        <v>-6.6881599999999999E-2</v>
      </c>
      <c r="T8" s="69">
        <v>-0.14649999999999999</v>
      </c>
      <c r="U8" s="69">
        <v>-0.17449400000000001</v>
      </c>
      <c r="V8" s="69">
        <v>-0.66137800000000002</v>
      </c>
    </row>
    <row r="9" spans="1:22">
      <c r="A9" s="66" t="s">
        <v>387</v>
      </c>
      <c r="B9" s="69">
        <v>7.1251300000000004E-2</v>
      </c>
      <c r="C9" s="69">
        <v>838.03899999999999</v>
      </c>
      <c r="D9" s="69">
        <v>735.46299999999997</v>
      </c>
      <c r="E9" s="69">
        <v>934.15599999999995</v>
      </c>
      <c r="F9" s="69">
        <v>838.75099999999998</v>
      </c>
      <c r="G9" s="69">
        <v>753.23400000000004</v>
      </c>
      <c r="H9" s="69">
        <v>915.53800000000001</v>
      </c>
      <c r="I9" s="69">
        <v>1414.84</v>
      </c>
      <c r="J9" s="69">
        <v>1238.92</v>
      </c>
      <c r="K9" s="69">
        <v>1270.42</v>
      </c>
      <c r="L9" s="69">
        <v>2169.7399999999998</v>
      </c>
      <c r="M9" s="69">
        <v>2230.17</v>
      </c>
      <c r="N9" s="69">
        <v>2113.36</v>
      </c>
      <c r="O9" s="69">
        <v>3003.27</v>
      </c>
      <c r="P9" s="69">
        <v>4509.07</v>
      </c>
      <c r="Q9" s="69">
        <v>9523.4599999999991</v>
      </c>
      <c r="R9" s="69">
        <v>21001.200000000001</v>
      </c>
      <c r="S9" s="69">
        <v>5873.82</v>
      </c>
      <c r="T9" s="69">
        <v>12488.2</v>
      </c>
      <c r="U9" s="69">
        <v>16726.400000000001</v>
      </c>
      <c r="V9" s="69">
        <v>3048.97</v>
      </c>
    </row>
    <row r="10" spans="1:22">
      <c r="A10" s="66" t="s">
        <v>388</v>
      </c>
      <c r="B10" s="69">
        <v>-3.4593500000000001</v>
      </c>
      <c r="C10" s="69">
        <v>-1.55494</v>
      </c>
      <c r="D10" s="69">
        <v>-1.5705199999999999</v>
      </c>
      <c r="E10" s="69">
        <v>-1.62198</v>
      </c>
      <c r="F10" s="69">
        <v>-1.68503</v>
      </c>
      <c r="G10" s="69">
        <v>-1.70428</v>
      </c>
      <c r="H10" s="69">
        <v>-1.7422</v>
      </c>
      <c r="I10" s="69">
        <v>-1.80566</v>
      </c>
      <c r="J10" s="69">
        <v>-1.8773200000000001</v>
      </c>
      <c r="K10" s="69">
        <v>-1.8591599999999999</v>
      </c>
      <c r="L10" s="69">
        <v>-1.89039</v>
      </c>
      <c r="M10" s="69">
        <v>-1.87757</v>
      </c>
      <c r="N10" s="69">
        <v>-1.8304100000000001</v>
      </c>
      <c r="O10" s="69">
        <v>-1.83335</v>
      </c>
      <c r="P10" s="69">
        <v>-1.8232900000000001</v>
      </c>
      <c r="Q10" s="69">
        <v>-1.82707</v>
      </c>
      <c r="R10" s="69">
        <v>-1.84615</v>
      </c>
      <c r="S10" s="69">
        <v>-0.83373299999999995</v>
      </c>
      <c r="T10" s="69">
        <v>-0.65270099999999998</v>
      </c>
      <c r="U10" s="69">
        <v>-0.56513199999999997</v>
      </c>
      <c r="V10" s="69">
        <v>-0.25092900000000001</v>
      </c>
    </row>
    <row r="11" spans="1:22">
      <c r="A11" s="66" t="s">
        <v>389</v>
      </c>
      <c r="B11" s="69">
        <v>1.7009399999999999</v>
      </c>
      <c r="C11" s="69">
        <v>-5.7324400000000004</v>
      </c>
      <c r="D11" s="69">
        <v>-5.9638900000000001</v>
      </c>
      <c r="E11" s="69">
        <v>-5.7050299999999998</v>
      </c>
      <c r="F11" s="69">
        <v>-5.2478899999999999</v>
      </c>
      <c r="G11" s="69">
        <v>-5.0694900000000001</v>
      </c>
      <c r="H11" s="69">
        <v>-4.9995799999999999</v>
      </c>
      <c r="I11" s="69">
        <v>-4.9426899999999998</v>
      </c>
      <c r="J11" s="69">
        <v>-4.5264499999999996</v>
      </c>
      <c r="K11" s="69">
        <v>-4.4566100000000004</v>
      </c>
      <c r="L11" s="69">
        <v>-4.44679</v>
      </c>
      <c r="M11" s="69">
        <v>-4.2957000000000001</v>
      </c>
      <c r="N11" s="69">
        <v>-4.1535500000000001</v>
      </c>
      <c r="O11" s="69">
        <v>-4.0905500000000004</v>
      </c>
      <c r="P11" s="69">
        <v>-4.0912499999999996</v>
      </c>
      <c r="Q11" s="69">
        <v>-4.24153</v>
      </c>
      <c r="R11" s="69">
        <v>-4.3390000000000004</v>
      </c>
      <c r="S11" s="69">
        <v>-9.8523300000000003</v>
      </c>
      <c r="T11" s="69">
        <v>-13.539400000000001</v>
      </c>
      <c r="U11" s="69">
        <v>-15.9673</v>
      </c>
      <c r="V11" s="69">
        <v>-29.046299999999999</v>
      </c>
    </row>
  </sheetData>
  <phoneticPr fontId="23" type="noConversion"/>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B013B5-27AD-48BA-A0A8-F782B93A3309}">
  <dimension ref="A26:U26"/>
  <sheetViews>
    <sheetView workbookViewId="0">
      <pane xSplit="1" ySplit="6" topLeftCell="B127" activePane="bottomRight" state="frozen"/>
      <selection pane="topRight" activeCell="B1" sqref="B1"/>
      <selection pane="bottomLeft" activeCell="A7" sqref="A7"/>
      <selection pane="bottomRight" activeCell="M1" sqref="M1:M1048576"/>
    </sheetView>
  </sheetViews>
  <sheetFormatPr defaultRowHeight="14.4"/>
  <cols>
    <col min="3" max="3" width="12" bestFit="1" customWidth="1"/>
    <col min="21" max="21" width="8.88671875" style="24"/>
  </cols>
  <sheetData>
    <row r="26" spans="1:1">
      <c r="A26" s="24"/>
    </row>
  </sheetData>
  <sortState xmlns:xlrd2="http://schemas.microsoft.com/office/spreadsheetml/2017/richdata2" ref="A6:B143">
    <sortCondition ref="A6:A143"/>
  </sortState>
  <phoneticPr fontId="23" type="noConversion"/>
  <pageMargins left="0.7" right="0.7" top="0.75" bottom="0.75" header="0.3" footer="0.3"/>
  <pageSetup paperSize="9"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FAD8CF-47DB-47BD-A145-F803D3707015}">
  <dimension ref="A1:CX43"/>
  <sheetViews>
    <sheetView workbookViewId="0">
      <selection activeCell="C17" sqref="C17"/>
    </sheetView>
  </sheetViews>
  <sheetFormatPr defaultRowHeight="14.4"/>
  <cols>
    <col min="1" max="1" width="33.6640625" customWidth="1"/>
  </cols>
  <sheetData>
    <row r="1" spans="1:102">
      <c r="B1" s="64">
        <v>2000</v>
      </c>
      <c r="C1" s="64">
        <v>2001</v>
      </c>
      <c r="D1" s="64">
        <v>2002</v>
      </c>
      <c r="E1" s="64">
        <v>2003</v>
      </c>
      <c r="F1" s="64">
        <v>2004</v>
      </c>
      <c r="G1" s="64">
        <v>2005</v>
      </c>
      <c r="H1" s="64">
        <v>2006</v>
      </c>
      <c r="I1" s="64">
        <v>2007</v>
      </c>
      <c r="J1" s="64">
        <v>2008</v>
      </c>
      <c r="K1" s="64">
        <v>2009</v>
      </c>
      <c r="L1" s="64">
        <v>2010</v>
      </c>
      <c r="M1" s="64">
        <v>2011</v>
      </c>
      <c r="N1" s="64">
        <v>2012</v>
      </c>
      <c r="O1" s="64">
        <v>2013</v>
      </c>
      <c r="P1" s="64">
        <v>2014</v>
      </c>
      <c r="Q1" s="64">
        <v>2015</v>
      </c>
      <c r="R1" s="64">
        <v>2016</v>
      </c>
      <c r="S1" s="64">
        <v>2017</v>
      </c>
      <c r="T1" s="64">
        <v>2018</v>
      </c>
      <c r="U1" s="64">
        <v>2019</v>
      </c>
      <c r="V1" s="64">
        <v>2020</v>
      </c>
      <c r="W1" s="64">
        <v>2021</v>
      </c>
      <c r="X1" s="64">
        <v>2022</v>
      </c>
      <c r="Y1" s="64">
        <v>2023</v>
      </c>
      <c r="Z1" s="64">
        <v>2024</v>
      </c>
      <c r="AA1" s="64">
        <v>2025</v>
      </c>
      <c r="AB1" s="64">
        <v>2026</v>
      </c>
      <c r="AC1" s="64">
        <v>2027</v>
      </c>
      <c r="AD1" s="64">
        <v>2028</v>
      </c>
      <c r="AE1" s="64">
        <v>2029</v>
      </c>
      <c r="AF1" s="64">
        <v>2030</v>
      </c>
      <c r="AG1" s="64">
        <v>2031</v>
      </c>
      <c r="AH1" s="64">
        <v>2032</v>
      </c>
      <c r="AI1" s="64">
        <v>2033</v>
      </c>
      <c r="AJ1" s="64">
        <v>2034</v>
      </c>
      <c r="AK1" s="64">
        <v>2035</v>
      </c>
      <c r="AL1" s="64">
        <v>2036</v>
      </c>
      <c r="AM1" s="64">
        <v>2037</v>
      </c>
      <c r="AN1" s="64">
        <v>2038</v>
      </c>
      <c r="AO1" s="64">
        <v>2039</v>
      </c>
      <c r="AP1" s="64">
        <v>2040</v>
      </c>
      <c r="AQ1" s="64">
        <v>2041</v>
      </c>
      <c r="AR1" s="64">
        <v>2042</v>
      </c>
      <c r="AS1" s="64">
        <v>2043</v>
      </c>
      <c r="AT1" s="64">
        <v>2044</v>
      </c>
      <c r="AU1" s="64">
        <v>2045</v>
      </c>
      <c r="AV1" s="64">
        <v>2046</v>
      </c>
      <c r="AW1" s="64">
        <v>2047</v>
      </c>
      <c r="AX1" s="64">
        <v>2048</v>
      </c>
      <c r="AY1" s="64">
        <v>2049</v>
      </c>
      <c r="AZ1" s="64">
        <v>2050</v>
      </c>
      <c r="BA1" s="64">
        <v>2051</v>
      </c>
      <c r="BB1" s="64">
        <v>2052</v>
      </c>
      <c r="BC1" s="64">
        <v>2053</v>
      </c>
      <c r="BD1" s="64">
        <v>2054</v>
      </c>
      <c r="BE1" s="64">
        <v>2055</v>
      </c>
      <c r="BF1" s="64">
        <v>2056</v>
      </c>
      <c r="BG1" s="64">
        <v>2057</v>
      </c>
      <c r="BH1" s="64">
        <v>2058</v>
      </c>
      <c r="BI1" s="64">
        <v>2059</v>
      </c>
      <c r="BJ1" s="64">
        <v>2060</v>
      </c>
      <c r="BK1" s="64">
        <v>2061</v>
      </c>
      <c r="BL1" s="64">
        <v>2062</v>
      </c>
      <c r="BM1" s="64">
        <v>2063</v>
      </c>
      <c r="BN1" s="64">
        <v>2064</v>
      </c>
      <c r="BO1" s="64">
        <v>2065</v>
      </c>
      <c r="BP1" s="64">
        <v>2066</v>
      </c>
      <c r="BQ1" s="64">
        <v>2067</v>
      </c>
      <c r="BR1" s="64">
        <v>2068</v>
      </c>
      <c r="BS1" s="64">
        <v>2069</v>
      </c>
      <c r="BT1" s="64">
        <v>2070</v>
      </c>
      <c r="BU1" s="64">
        <v>2071</v>
      </c>
      <c r="BV1" s="64">
        <v>2072</v>
      </c>
      <c r="BW1" s="64">
        <v>2073</v>
      </c>
      <c r="BX1" s="64">
        <v>2074</v>
      </c>
      <c r="BY1" s="64">
        <v>2075</v>
      </c>
      <c r="BZ1" s="64">
        <v>2076</v>
      </c>
      <c r="CA1" s="64">
        <v>2077</v>
      </c>
      <c r="CB1" s="64">
        <v>2078</v>
      </c>
      <c r="CC1" s="64">
        <v>2079</v>
      </c>
      <c r="CD1" s="64">
        <v>2080</v>
      </c>
      <c r="CE1" s="64">
        <v>2081</v>
      </c>
      <c r="CF1" s="64">
        <v>2082</v>
      </c>
      <c r="CG1" s="64">
        <v>2083</v>
      </c>
      <c r="CH1" s="64">
        <v>2084</v>
      </c>
      <c r="CI1" s="64">
        <v>2085</v>
      </c>
      <c r="CJ1" s="64">
        <v>2086</v>
      </c>
      <c r="CK1" s="64">
        <v>2087</v>
      </c>
      <c r="CL1" s="64">
        <v>2088</v>
      </c>
      <c r="CM1" s="64">
        <v>2089</v>
      </c>
      <c r="CN1" s="64">
        <v>2090</v>
      </c>
      <c r="CO1" s="64">
        <v>2091</v>
      </c>
      <c r="CP1" s="64">
        <v>2092</v>
      </c>
      <c r="CQ1" s="64">
        <v>2093</v>
      </c>
      <c r="CR1" s="64">
        <v>2094</v>
      </c>
      <c r="CS1" s="64">
        <v>2095</v>
      </c>
      <c r="CT1" s="64">
        <v>2096</v>
      </c>
      <c r="CU1" s="64">
        <v>2097</v>
      </c>
      <c r="CV1" s="64">
        <v>2098</v>
      </c>
      <c r="CW1" s="64">
        <v>2099</v>
      </c>
      <c r="CX1" s="64">
        <v>2100</v>
      </c>
    </row>
    <row r="2" spans="1:102">
      <c r="A2" t="s">
        <v>322</v>
      </c>
      <c r="B2">
        <v>5.8491899999999998E-3</v>
      </c>
      <c r="C2">
        <v>5.5914099999999998E-3</v>
      </c>
      <c r="D2">
        <v>5.3344100000000004E-3</v>
      </c>
      <c r="E2">
        <v>5.0679100000000001E-3</v>
      </c>
      <c r="F2">
        <v>4.8797700000000003E-3</v>
      </c>
      <c r="G2">
        <v>4.5959800000000004E-3</v>
      </c>
      <c r="H2">
        <v>4.33373E-3</v>
      </c>
      <c r="I2">
        <v>4.1089100000000003E-3</v>
      </c>
      <c r="J2">
        <v>3.9456500000000002E-3</v>
      </c>
      <c r="K2">
        <v>3.68864E-3</v>
      </c>
      <c r="L2">
        <v>3.5247E-3</v>
      </c>
      <c r="M2">
        <v>3.3256000000000002E-3</v>
      </c>
      <c r="N2">
        <v>3.1717799999999999E-3</v>
      </c>
      <c r="O2">
        <v>3.03412E-3</v>
      </c>
      <c r="P2">
        <v>2.8994799999999999E-3</v>
      </c>
      <c r="Q2">
        <v>2.7755000000000002E-3</v>
      </c>
      <c r="R2">
        <v>2.6563400000000001E-3</v>
      </c>
      <c r="S2">
        <v>2.5393299999999998E-3</v>
      </c>
      <c r="T2">
        <v>2.4420599999999998E-3</v>
      </c>
      <c r="U2">
        <v>2.36688E-3</v>
      </c>
      <c r="V2">
        <v>2.29321E-3</v>
      </c>
      <c r="W2">
        <v>2.2495200000000001E-3</v>
      </c>
      <c r="X2">
        <v>2.2741699999999998E-3</v>
      </c>
      <c r="Y2">
        <v>2.2804700000000002E-3</v>
      </c>
      <c r="Z2">
        <v>2.2740500000000001E-3</v>
      </c>
      <c r="AA2">
        <v>2.2907000000000001E-3</v>
      </c>
      <c r="AB2">
        <v>2.2581099999999998E-3</v>
      </c>
      <c r="AC2">
        <v>2.2240200000000002E-3</v>
      </c>
      <c r="AD2">
        <v>2.1912099999999999E-3</v>
      </c>
      <c r="AE2">
        <v>2.1588200000000001E-3</v>
      </c>
      <c r="AF2">
        <v>2.1266499999999999E-3</v>
      </c>
      <c r="AG2">
        <v>2.0951500000000001E-3</v>
      </c>
      <c r="AH2">
        <v>2.0641499999999998E-3</v>
      </c>
      <c r="AI2">
        <v>2.0329699999999998E-3</v>
      </c>
      <c r="AJ2">
        <v>2.0007499999999999E-3</v>
      </c>
      <c r="AK2">
        <v>1.9690599999999999E-3</v>
      </c>
      <c r="AL2">
        <v>1.93647E-3</v>
      </c>
      <c r="AM2">
        <v>1.9045799999999999E-3</v>
      </c>
      <c r="AN2">
        <v>1.8717199999999999E-3</v>
      </c>
      <c r="AO2">
        <v>1.8387799999999999E-3</v>
      </c>
      <c r="AP2">
        <v>1.80671E-3</v>
      </c>
      <c r="AQ2">
        <v>1.77447E-3</v>
      </c>
      <c r="AR2">
        <v>1.7435700000000001E-3</v>
      </c>
      <c r="AS2">
        <v>1.71334E-3</v>
      </c>
      <c r="AT2">
        <v>1.68373E-3</v>
      </c>
      <c r="AU2">
        <v>1.65547E-3</v>
      </c>
      <c r="AV2">
        <v>1.62704E-3</v>
      </c>
      <c r="AW2">
        <v>1.6005699999999999E-3</v>
      </c>
      <c r="AX2">
        <v>1.57598E-3</v>
      </c>
      <c r="AY2">
        <v>1.55178E-3</v>
      </c>
      <c r="AZ2">
        <v>1.5281400000000001E-3</v>
      </c>
      <c r="BA2">
        <v>1.5061499999999999E-3</v>
      </c>
      <c r="BB2">
        <v>1.4838399999999999E-3</v>
      </c>
      <c r="BC2">
        <v>1.46232E-3</v>
      </c>
      <c r="BD2">
        <v>1.44064E-3</v>
      </c>
      <c r="BE2">
        <v>1.4181199999999999E-3</v>
      </c>
      <c r="BF2">
        <v>1.3965900000000001E-3</v>
      </c>
      <c r="BG2">
        <v>1.3748E-3</v>
      </c>
      <c r="BH2">
        <v>1.3534599999999999E-3</v>
      </c>
      <c r="BI2">
        <v>1.3319899999999999E-3</v>
      </c>
      <c r="BJ2">
        <v>1.30985E-3</v>
      </c>
      <c r="BK2">
        <v>1.2882099999999999E-3</v>
      </c>
      <c r="BL2">
        <v>1.2661599999999999E-3</v>
      </c>
      <c r="BM2">
        <v>1.2444400000000001E-3</v>
      </c>
      <c r="BN2">
        <v>1.22349E-3</v>
      </c>
      <c r="BO2">
        <v>1.20232E-3</v>
      </c>
      <c r="BP2">
        <v>1.18066E-3</v>
      </c>
      <c r="BQ2">
        <v>1.15909E-3</v>
      </c>
      <c r="BR2">
        <v>1.1374600000000001E-3</v>
      </c>
      <c r="BS2">
        <v>1.11725E-3</v>
      </c>
      <c r="BT2">
        <v>1.0959100000000001E-3</v>
      </c>
      <c r="BU2">
        <v>1.0755700000000001E-3</v>
      </c>
      <c r="BV2">
        <v>1.05499E-3</v>
      </c>
      <c r="BW2">
        <v>1.0357599999999999E-3</v>
      </c>
      <c r="BX2">
        <v>1.0174299999999999E-3</v>
      </c>
      <c r="BY2">
        <v>9.9868999999999999E-4</v>
      </c>
      <c r="BZ2">
        <v>9.8116000000000002E-4</v>
      </c>
      <c r="CA2">
        <v>9.6352999999999999E-4</v>
      </c>
      <c r="CB2">
        <v>9.4538000000000001E-4</v>
      </c>
      <c r="CC2">
        <v>9.2834999999999999E-4</v>
      </c>
      <c r="CD2">
        <v>9.1191999999999998E-4</v>
      </c>
      <c r="CE2">
        <v>8.9592000000000003E-4</v>
      </c>
      <c r="CF2">
        <v>8.8139000000000002E-4</v>
      </c>
      <c r="CG2">
        <v>8.6536999999999996E-4</v>
      </c>
      <c r="CH2">
        <v>8.5136000000000001E-4</v>
      </c>
      <c r="CI2">
        <v>8.3759000000000004E-4</v>
      </c>
      <c r="CJ2">
        <v>8.2357999999999997E-4</v>
      </c>
      <c r="CK2">
        <v>8.1028999999999997E-4</v>
      </c>
      <c r="CL2">
        <v>7.9746999999999999E-4</v>
      </c>
      <c r="CM2">
        <v>7.8494999999999997E-4</v>
      </c>
      <c r="CN2">
        <v>7.7181000000000005E-4</v>
      </c>
      <c r="CO2">
        <v>7.5918999999999997E-4</v>
      </c>
      <c r="CP2">
        <v>7.4711000000000005E-4</v>
      </c>
      <c r="CQ2">
        <v>7.3472000000000001E-4</v>
      </c>
      <c r="CR2">
        <v>7.2249E-4</v>
      </c>
      <c r="CS2">
        <v>7.1038999999999998E-4</v>
      </c>
      <c r="CT2">
        <v>6.9850000000000001E-4</v>
      </c>
      <c r="CU2">
        <v>6.8709999999999995E-4</v>
      </c>
      <c r="CV2">
        <v>6.7504999999999996E-4</v>
      </c>
      <c r="CW2">
        <v>6.6266999999999997E-4</v>
      </c>
      <c r="CX2">
        <v>6.5147999999999996E-4</v>
      </c>
    </row>
    <row r="3" spans="1:102">
      <c r="A3" t="s">
        <v>323</v>
      </c>
      <c r="B3">
        <v>1.8701499999999999E-3</v>
      </c>
      <c r="C3">
        <v>1.8323899999999999E-3</v>
      </c>
      <c r="D3">
        <v>1.8059199999999999E-3</v>
      </c>
      <c r="E3">
        <v>1.7460100000000001E-3</v>
      </c>
      <c r="F3">
        <v>1.74771E-3</v>
      </c>
      <c r="G3">
        <v>1.67453E-3</v>
      </c>
      <c r="H3">
        <v>1.60407E-3</v>
      </c>
      <c r="I3">
        <v>1.5570200000000001E-3</v>
      </c>
      <c r="J3">
        <v>1.55416E-3</v>
      </c>
      <c r="K3">
        <v>1.45006E-3</v>
      </c>
      <c r="L3">
        <v>1.42665E-3</v>
      </c>
      <c r="M3">
        <v>1.35085E-3</v>
      </c>
      <c r="N3">
        <v>1.31415E-3</v>
      </c>
      <c r="O3">
        <v>1.2648099999999999E-3</v>
      </c>
      <c r="P3">
        <v>1.23247E-3</v>
      </c>
      <c r="Q3">
        <v>1.2050699999999999E-3</v>
      </c>
      <c r="R3">
        <v>1.1723899999999999E-3</v>
      </c>
      <c r="S3">
        <v>1.14112E-3</v>
      </c>
      <c r="T3">
        <v>1.11826E-3</v>
      </c>
      <c r="U3">
        <v>1.08943E-3</v>
      </c>
      <c r="V3">
        <v>1.0617700000000001E-3</v>
      </c>
      <c r="W3">
        <v>1.0385399999999999E-3</v>
      </c>
      <c r="X3">
        <v>1.03337E-3</v>
      </c>
      <c r="Y3">
        <v>1.0196700000000001E-3</v>
      </c>
      <c r="Z3">
        <v>1.01651E-3</v>
      </c>
      <c r="AA3">
        <v>1.0277400000000001E-3</v>
      </c>
      <c r="AB3">
        <v>1.02648E-3</v>
      </c>
      <c r="AC3">
        <v>1.02454E-3</v>
      </c>
      <c r="AD3">
        <v>1.0196999999999999E-3</v>
      </c>
      <c r="AE3">
        <v>1.01179E-3</v>
      </c>
      <c r="AF3">
        <v>1.0014500000000001E-3</v>
      </c>
      <c r="AG3">
        <v>9.8912999999999996E-4</v>
      </c>
      <c r="AH3">
        <v>9.7652000000000004E-4</v>
      </c>
      <c r="AI3">
        <v>9.6369999999999995E-4</v>
      </c>
      <c r="AJ3">
        <v>9.5069999999999996E-4</v>
      </c>
      <c r="AK3">
        <v>9.3784999999999995E-4</v>
      </c>
      <c r="AL3">
        <v>9.2449000000000003E-4</v>
      </c>
      <c r="AM3">
        <v>9.1129000000000004E-4</v>
      </c>
      <c r="AN3">
        <v>8.9751000000000002E-4</v>
      </c>
      <c r="AO3">
        <v>8.8345000000000003E-4</v>
      </c>
      <c r="AP3">
        <v>8.6932999999999997E-4</v>
      </c>
      <c r="AQ3">
        <v>8.5435000000000003E-4</v>
      </c>
      <c r="AR3">
        <v>8.3956999999999999E-4</v>
      </c>
      <c r="AS3">
        <v>8.2505999999999996E-4</v>
      </c>
      <c r="AT3">
        <v>8.1083999999999995E-4</v>
      </c>
      <c r="AU3">
        <v>7.9679999999999996E-4</v>
      </c>
      <c r="AV3">
        <v>7.8268000000000001E-4</v>
      </c>
      <c r="AW3">
        <v>7.6906000000000001E-4</v>
      </c>
      <c r="AX3">
        <v>7.5584999999999997E-4</v>
      </c>
      <c r="AY3">
        <v>7.4286000000000003E-4</v>
      </c>
      <c r="AZ3">
        <v>7.2988999999999997E-4</v>
      </c>
      <c r="BA3">
        <v>7.1748999999999999E-4</v>
      </c>
      <c r="BB3">
        <v>7.0502E-4</v>
      </c>
      <c r="BC3">
        <v>6.9359000000000001E-4</v>
      </c>
      <c r="BD3">
        <v>6.8254999999999998E-4</v>
      </c>
      <c r="BE3">
        <v>6.7142000000000005E-4</v>
      </c>
      <c r="BF3">
        <v>6.6124E-4</v>
      </c>
      <c r="BG3">
        <v>6.5063999999999996E-4</v>
      </c>
      <c r="BH3">
        <v>6.4013000000000004E-4</v>
      </c>
      <c r="BI3">
        <v>6.2964E-4</v>
      </c>
      <c r="BJ3">
        <v>6.1899999999999998E-4</v>
      </c>
      <c r="BK3">
        <v>6.0873000000000003E-4</v>
      </c>
      <c r="BL3">
        <v>5.9854000000000005E-4</v>
      </c>
      <c r="BM3">
        <v>5.8830999999999998E-4</v>
      </c>
      <c r="BN3">
        <v>5.7828000000000003E-4</v>
      </c>
      <c r="BO3">
        <v>5.6809000000000004E-4</v>
      </c>
      <c r="BP3">
        <v>5.5791E-4</v>
      </c>
      <c r="BQ3">
        <v>5.4827000000000001E-4</v>
      </c>
      <c r="BR3">
        <v>5.3801000000000001E-4</v>
      </c>
      <c r="BS3">
        <v>5.2851000000000005E-4</v>
      </c>
      <c r="BT3">
        <v>5.1833999999999995E-4</v>
      </c>
      <c r="BU3">
        <v>5.0825000000000002E-4</v>
      </c>
      <c r="BV3">
        <v>4.9815000000000005E-4</v>
      </c>
      <c r="BW3">
        <v>4.8844999999999997E-4</v>
      </c>
      <c r="BX3">
        <v>4.7875000000000001E-4</v>
      </c>
      <c r="BY3">
        <v>4.6884999999999999E-4</v>
      </c>
      <c r="BZ3">
        <v>4.5943999999999998E-4</v>
      </c>
      <c r="CA3">
        <v>4.5012999999999997E-4</v>
      </c>
      <c r="CB3">
        <v>4.4086E-4</v>
      </c>
      <c r="CC3">
        <v>4.3208999999999999E-4</v>
      </c>
      <c r="CD3">
        <v>4.2347000000000001E-4</v>
      </c>
      <c r="CE3">
        <v>4.1507000000000002E-4</v>
      </c>
      <c r="CF3">
        <v>4.0727E-4</v>
      </c>
      <c r="CG3">
        <v>3.9858E-4</v>
      </c>
      <c r="CH3">
        <v>3.9106999999999998E-4</v>
      </c>
      <c r="CI3">
        <v>3.8385999999999997E-4</v>
      </c>
      <c r="CJ3">
        <v>3.7657000000000001E-4</v>
      </c>
      <c r="CK3">
        <v>3.6974000000000002E-4</v>
      </c>
      <c r="CL3">
        <v>3.6307000000000001E-4</v>
      </c>
      <c r="CM3">
        <v>3.5654000000000003E-4</v>
      </c>
      <c r="CN3">
        <v>3.4995000000000002E-4</v>
      </c>
      <c r="CO3">
        <v>3.4332999999999998E-4</v>
      </c>
      <c r="CP3">
        <v>3.3731000000000001E-4</v>
      </c>
      <c r="CQ3">
        <v>3.3083E-4</v>
      </c>
      <c r="CR3">
        <v>3.2464000000000001E-4</v>
      </c>
      <c r="CS3">
        <v>3.1825000000000001E-4</v>
      </c>
      <c r="CT3">
        <v>3.1229000000000001E-4</v>
      </c>
      <c r="CU3">
        <v>3.0665999999999999E-4</v>
      </c>
      <c r="CV3">
        <v>3.0060999999999998E-4</v>
      </c>
      <c r="CW3">
        <v>2.9453999999999998E-4</v>
      </c>
      <c r="CX3">
        <v>2.8905000000000001E-4</v>
      </c>
    </row>
    <row r="4" spans="1:102">
      <c r="A4" t="s">
        <v>324</v>
      </c>
      <c r="B4">
        <v>1.03308E-3</v>
      </c>
      <c r="C4">
        <v>1.0105100000000001E-3</v>
      </c>
      <c r="D4">
        <v>9.9668000000000001E-4</v>
      </c>
      <c r="E4">
        <v>9.7634000000000002E-4</v>
      </c>
      <c r="F4">
        <v>9.8838000000000007E-4</v>
      </c>
      <c r="G4">
        <v>9.5750999999999996E-4</v>
      </c>
      <c r="H4">
        <v>9.1925999999999998E-4</v>
      </c>
      <c r="I4">
        <v>8.9806E-4</v>
      </c>
      <c r="J4">
        <v>9.0618000000000003E-4</v>
      </c>
      <c r="K4">
        <v>8.5596000000000001E-4</v>
      </c>
      <c r="L4">
        <v>8.4975999999999997E-4</v>
      </c>
      <c r="M4">
        <v>8.0838999999999998E-4</v>
      </c>
      <c r="N4">
        <v>7.8925999999999996E-4</v>
      </c>
      <c r="O4">
        <v>7.6464999999999997E-4</v>
      </c>
      <c r="P4">
        <v>7.4724000000000004E-4</v>
      </c>
      <c r="Q4">
        <v>7.3433000000000005E-4</v>
      </c>
      <c r="R4">
        <v>7.1454000000000005E-4</v>
      </c>
      <c r="S4">
        <v>6.9746999999999995E-4</v>
      </c>
      <c r="T4">
        <v>6.8272000000000005E-4</v>
      </c>
      <c r="U4">
        <v>6.6741999999999995E-4</v>
      </c>
      <c r="V4">
        <v>6.5127999999999996E-4</v>
      </c>
      <c r="W4">
        <v>6.4900999999999999E-4</v>
      </c>
      <c r="X4">
        <v>6.4086999999999998E-4</v>
      </c>
      <c r="Y4">
        <v>6.1967999999999995E-4</v>
      </c>
      <c r="Z4">
        <v>6.1114000000000003E-4</v>
      </c>
      <c r="AA4">
        <v>6.1025999999999995E-4</v>
      </c>
      <c r="AB4">
        <v>6.0156999999999995E-4</v>
      </c>
      <c r="AC4">
        <v>5.9373E-4</v>
      </c>
      <c r="AD4">
        <v>5.8799999999999998E-4</v>
      </c>
      <c r="AE4">
        <v>5.8392000000000003E-4</v>
      </c>
      <c r="AF4">
        <v>5.8124999999999995E-4</v>
      </c>
      <c r="AG4">
        <v>5.7952000000000004E-4</v>
      </c>
      <c r="AH4">
        <v>5.7830999999999996E-4</v>
      </c>
      <c r="AI4">
        <v>5.7594000000000005E-4</v>
      </c>
      <c r="AJ4">
        <v>5.7209000000000003E-4</v>
      </c>
      <c r="AK4">
        <v>5.6703999999999999E-4</v>
      </c>
      <c r="AL4">
        <v>5.6043E-4</v>
      </c>
      <c r="AM4">
        <v>5.5356999999999997E-4</v>
      </c>
      <c r="AN4">
        <v>5.4664000000000004E-4</v>
      </c>
      <c r="AO4">
        <v>5.3967000000000002E-4</v>
      </c>
      <c r="AP4">
        <v>5.3273000000000003E-4</v>
      </c>
      <c r="AQ4">
        <v>5.2547E-4</v>
      </c>
      <c r="AR4">
        <v>5.1825000000000005E-4</v>
      </c>
      <c r="AS4">
        <v>5.1095000000000003E-4</v>
      </c>
      <c r="AT4">
        <v>5.0365999999999996E-4</v>
      </c>
      <c r="AU4">
        <v>4.9633000000000001E-4</v>
      </c>
      <c r="AV4">
        <v>4.8859999999999995E-4</v>
      </c>
      <c r="AW4">
        <v>4.8104000000000002E-4</v>
      </c>
      <c r="AX4">
        <v>4.7370000000000002E-4</v>
      </c>
      <c r="AY4">
        <v>4.6629000000000001E-4</v>
      </c>
      <c r="AZ4">
        <v>4.5877E-4</v>
      </c>
      <c r="BA4">
        <v>4.5156999999999999E-4</v>
      </c>
      <c r="BB4">
        <v>4.4417000000000002E-4</v>
      </c>
      <c r="BC4">
        <v>4.3706000000000002E-4</v>
      </c>
      <c r="BD4">
        <v>4.3017000000000001E-4</v>
      </c>
      <c r="BE4">
        <v>4.2318999999999999E-4</v>
      </c>
      <c r="BF4">
        <v>4.1660999999999998E-4</v>
      </c>
      <c r="BG4">
        <v>4.1007000000000001E-4</v>
      </c>
      <c r="BH4">
        <v>4.0389000000000001E-4</v>
      </c>
      <c r="BI4">
        <v>3.9795E-4</v>
      </c>
      <c r="BJ4">
        <v>3.9211999999999998E-4</v>
      </c>
      <c r="BK4">
        <v>3.8657999999999997E-4</v>
      </c>
      <c r="BL4">
        <v>3.8107000000000001E-4</v>
      </c>
      <c r="BM4">
        <v>3.7554999999999999E-4</v>
      </c>
      <c r="BN4">
        <v>3.7022999999999998E-4</v>
      </c>
      <c r="BO4">
        <v>3.6486E-4</v>
      </c>
      <c r="BP4">
        <v>3.5951000000000001E-4</v>
      </c>
      <c r="BQ4">
        <v>3.5441999999999998E-4</v>
      </c>
      <c r="BR4">
        <v>3.4906999999999999E-4</v>
      </c>
      <c r="BS4">
        <v>3.4411000000000001E-4</v>
      </c>
      <c r="BT4">
        <v>3.3879E-4</v>
      </c>
      <c r="BU4">
        <v>3.3363000000000002E-4</v>
      </c>
      <c r="BV4">
        <v>3.2846999999999998E-4</v>
      </c>
      <c r="BW4">
        <v>3.2336000000000002E-4</v>
      </c>
      <c r="BX4">
        <v>3.1823000000000002E-4</v>
      </c>
      <c r="BY4">
        <v>3.1296999999999998E-4</v>
      </c>
      <c r="BZ4">
        <v>3.078E-4</v>
      </c>
      <c r="CA4">
        <v>3.0255000000000001E-4</v>
      </c>
      <c r="CB4">
        <v>2.9726999999999998E-4</v>
      </c>
      <c r="CC4">
        <v>2.9215000000000003E-4</v>
      </c>
      <c r="CD4">
        <v>2.8703000000000002E-4</v>
      </c>
      <c r="CE4">
        <v>2.8204E-4</v>
      </c>
      <c r="CF4">
        <v>2.7743000000000001E-4</v>
      </c>
      <c r="CG4">
        <v>2.7231999999999999E-4</v>
      </c>
      <c r="CH4">
        <v>2.6788000000000002E-4</v>
      </c>
      <c r="CI4">
        <v>2.6357000000000003E-4</v>
      </c>
      <c r="CJ4">
        <v>2.5918000000000002E-4</v>
      </c>
      <c r="CK4">
        <v>2.5503E-4</v>
      </c>
      <c r="CL4">
        <v>2.5096999999999999E-4</v>
      </c>
      <c r="CM4">
        <v>2.4701999999999998E-4</v>
      </c>
      <c r="CN4">
        <v>2.4308000000000001E-4</v>
      </c>
      <c r="CO4">
        <v>2.3923999999999999E-4</v>
      </c>
      <c r="CP4">
        <v>2.3578E-4</v>
      </c>
      <c r="CQ4">
        <v>2.3203000000000001E-4</v>
      </c>
      <c r="CR4">
        <v>2.2848000000000001E-4</v>
      </c>
      <c r="CS4">
        <v>2.2488E-4</v>
      </c>
      <c r="CT4">
        <v>2.2139999999999999E-4</v>
      </c>
      <c r="CU4">
        <v>2.1811000000000001E-4</v>
      </c>
      <c r="CV4">
        <v>2.1463999999999999E-4</v>
      </c>
      <c r="CW4">
        <v>2.1115000000000001E-4</v>
      </c>
      <c r="CX4">
        <v>2.0799999999999999E-4</v>
      </c>
    </row>
    <row r="5" spans="1:102">
      <c r="A5" t="s">
        <v>325</v>
      </c>
      <c r="B5">
        <v>1.3997E-3</v>
      </c>
      <c r="C5">
        <v>1.37334E-3</v>
      </c>
      <c r="D5">
        <v>1.34906E-3</v>
      </c>
      <c r="E5">
        <v>1.3139899999999999E-3</v>
      </c>
      <c r="F5">
        <v>1.30511E-3</v>
      </c>
      <c r="G5">
        <v>1.2523199999999999E-3</v>
      </c>
      <c r="H5">
        <v>1.20261E-3</v>
      </c>
      <c r="I5">
        <v>1.17691E-3</v>
      </c>
      <c r="J5">
        <v>1.18213E-3</v>
      </c>
      <c r="K5">
        <v>1.13338E-3</v>
      </c>
      <c r="L5">
        <v>1.12757E-3</v>
      </c>
      <c r="M5">
        <v>1.08602E-3</v>
      </c>
      <c r="N5">
        <v>1.0584699999999999E-3</v>
      </c>
      <c r="O5">
        <v>1.0217799999999999E-3</v>
      </c>
      <c r="P5">
        <v>9.9956999999999997E-4</v>
      </c>
      <c r="Q5">
        <v>9.8032999999999996E-4</v>
      </c>
      <c r="R5">
        <v>9.5728999999999996E-4</v>
      </c>
      <c r="S5">
        <v>9.4068000000000005E-4</v>
      </c>
      <c r="T5">
        <v>9.2595000000000004E-4</v>
      </c>
      <c r="U5">
        <v>9.1281000000000001E-4</v>
      </c>
      <c r="V5">
        <v>8.8416999999999999E-4</v>
      </c>
      <c r="W5">
        <v>9.5733000000000005E-4</v>
      </c>
      <c r="X5">
        <v>9.2597000000000003E-4</v>
      </c>
      <c r="Y5">
        <v>8.5908999999999996E-4</v>
      </c>
      <c r="Z5">
        <v>8.4294000000000003E-4</v>
      </c>
      <c r="AA5">
        <v>8.3843999999999998E-4</v>
      </c>
      <c r="AB5">
        <v>8.2574999999999999E-4</v>
      </c>
      <c r="AC5">
        <v>8.1327999999999999E-4</v>
      </c>
      <c r="AD5">
        <v>8.0228000000000005E-4</v>
      </c>
      <c r="AE5">
        <v>7.9179999999999995E-4</v>
      </c>
      <c r="AF5">
        <v>7.8131999999999995E-4</v>
      </c>
      <c r="AG5">
        <v>7.7043000000000001E-4</v>
      </c>
      <c r="AH5">
        <v>7.6062000000000005E-4</v>
      </c>
      <c r="AI5">
        <v>7.5279999999999998E-4</v>
      </c>
      <c r="AJ5">
        <v>7.4688E-4</v>
      </c>
      <c r="AK5">
        <v>7.4295999999999997E-4</v>
      </c>
      <c r="AL5">
        <v>7.4076000000000003E-4</v>
      </c>
      <c r="AM5">
        <v>7.3974000000000002E-4</v>
      </c>
      <c r="AN5">
        <v>7.3744999999999995E-4</v>
      </c>
      <c r="AO5">
        <v>7.3320000000000004E-4</v>
      </c>
      <c r="AP5">
        <v>7.2711E-4</v>
      </c>
      <c r="AQ5">
        <v>7.1876000000000004E-4</v>
      </c>
      <c r="AR5">
        <v>7.1000000000000002E-4</v>
      </c>
      <c r="AS5">
        <v>7.0133000000000001E-4</v>
      </c>
      <c r="AT5">
        <v>6.9282000000000002E-4</v>
      </c>
      <c r="AU5">
        <v>6.8435000000000002E-4</v>
      </c>
      <c r="AV5">
        <v>6.7555000000000002E-4</v>
      </c>
      <c r="AW5">
        <v>6.6697000000000002E-4</v>
      </c>
      <c r="AX5">
        <v>6.5837999999999997E-4</v>
      </c>
      <c r="AY5">
        <v>6.4959999999999996E-4</v>
      </c>
      <c r="AZ5">
        <v>6.4055000000000004E-4</v>
      </c>
      <c r="BA5">
        <v>6.3150000000000001E-4</v>
      </c>
      <c r="BB5">
        <v>6.2202999999999998E-4</v>
      </c>
      <c r="BC5">
        <v>6.1286000000000001E-4</v>
      </c>
      <c r="BD5">
        <v>6.0373999999999996E-4</v>
      </c>
      <c r="BE5">
        <v>5.9444000000000001E-4</v>
      </c>
      <c r="BF5">
        <v>5.8567999999999999E-4</v>
      </c>
      <c r="BG5">
        <v>5.7673000000000002E-4</v>
      </c>
      <c r="BH5">
        <v>5.6798000000000005E-4</v>
      </c>
      <c r="BI5">
        <v>5.5960000000000005E-4</v>
      </c>
      <c r="BJ5">
        <v>5.5122999999999999E-4</v>
      </c>
      <c r="BK5">
        <v>5.4314000000000001E-4</v>
      </c>
      <c r="BL5">
        <v>5.354E-4</v>
      </c>
      <c r="BM5">
        <v>5.2795999999999995E-4</v>
      </c>
      <c r="BN5">
        <v>5.2094999999999995E-4</v>
      </c>
      <c r="BO5">
        <v>5.1411999999999996E-4</v>
      </c>
      <c r="BP5">
        <v>5.0750999999999997E-4</v>
      </c>
      <c r="BQ5">
        <v>5.0126000000000001E-4</v>
      </c>
      <c r="BR5">
        <v>4.9476000000000001E-4</v>
      </c>
      <c r="BS5">
        <v>4.8881E-4</v>
      </c>
      <c r="BT5">
        <v>4.8246999999999998E-4</v>
      </c>
      <c r="BU5">
        <v>4.7634000000000001E-4</v>
      </c>
      <c r="BV5">
        <v>4.7029999999999999E-4</v>
      </c>
      <c r="BW5">
        <v>4.6432E-4</v>
      </c>
      <c r="BX5">
        <v>4.5826999999999999E-4</v>
      </c>
      <c r="BY5">
        <v>4.5206000000000001E-4</v>
      </c>
      <c r="BZ5">
        <v>4.4599E-4</v>
      </c>
      <c r="CA5">
        <v>4.3982E-4</v>
      </c>
      <c r="CB5">
        <v>4.3353E-4</v>
      </c>
      <c r="CC5">
        <v>4.2744000000000001E-4</v>
      </c>
      <c r="CD5">
        <v>4.2124000000000003E-4</v>
      </c>
      <c r="CE5">
        <v>4.1503999999999998E-4</v>
      </c>
      <c r="CF5">
        <v>4.0910000000000002E-4</v>
      </c>
      <c r="CG5">
        <v>4.0252000000000002E-4</v>
      </c>
      <c r="CH5">
        <v>3.9660999999999999E-4</v>
      </c>
      <c r="CI5">
        <v>3.9072999999999999E-4</v>
      </c>
      <c r="CJ5">
        <v>3.8472000000000002E-4</v>
      </c>
      <c r="CK5">
        <v>3.7903999999999998E-4</v>
      </c>
      <c r="CL5">
        <v>3.7346999999999999E-4</v>
      </c>
      <c r="CM5">
        <v>3.6807000000000002E-4</v>
      </c>
      <c r="CN5">
        <v>3.6268999999999999E-4</v>
      </c>
      <c r="CO5">
        <v>3.5741000000000001E-4</v>
      </c>
      <c r="CP5">
        <v>3.5254999999999998E-4</v>
      </c>
      <c r="CQ5">
        <v>3.4731999999999997E-4</v>
      </c>
      <c r="CR5">
        <v>3.4239999999999997E-4</v>
      </c>
      <c r="CS5">
        <v>3.3747999999999997E-4</v>
      </c>
      <c r="CT5">
        <v>3.3283999999999999E-4</v>
      </c>
      <c r="CU5">
        <v>3.2852000000000001E-4</v>
      </c>
      <c r="CV5">
        <v>3.2394999999999999E-4</v>
      </c>
      <c r="CW5">
        <v>3.1945999999999998E-4</v>
      </c>
      <c r="CX5">
        <v>3.1545999999999999E-4</v>
      </c>
    </row>
    <row r="6" spans="1:102">
      <c r="A6" t="s">
        <v>326</v>
      </c>
      <c r="B6">
        <v>1.7826599999999999E-3</v>
      </c>
      <c r="C6">
        <v>1.75479E-3</v>
      </c>
      <c r="D6">
        <v>1.7204799999999999E-3</v>
      </c>
      <c r="E6">
        <v>1.6825099999999999E-3</v>
      </c>
      <c r="F6">
        <v>1.66764E-3</v>
      </c>
      <c r="G6">
        <v>1.6037499999999999E-3</v>
      </c>
      <c r="H6">
        <v>1.5426400000000001E-3</v>
      </c>
      <c r="I6">
        <v>1.50403E-3</v>
      </c>
      <c r="J6">
        <v>1.4903200000000001E-3</v>
      </c>
      <c r="K6">
        <v>1.41814E-3</v>
      </c>
      <c r="L6">
        <v>1.38226E-3</v>
      </c>
      <c r="M6">
        <v>1.3143600000000001E-3</v>
      </c>
      <c r="N6">
        <v>1.2707700000000001E-3</v>
      </c>
      <c r="O6">
        <v>1.22189E-3</v>
      </c>
      <c r="P6">
        <v>1.1875799999999999E-3</v>
      </c>
      <c r="Q6">
        <v>1.16423E-3</v>
      </c>
      <c r="R6">
        <v>1.14039E-3</v>
      </c>
      <c r="S6">
        <v>1.12068E-3</v>
      </c>
      <c r="T6">
        <v>1.10468E-3</v>
      </c>
      <c r="U6">
        <v>1.0966400000000001E-3</v>
      </c>
      <c r="V6">
        <v>1.06295E-3</v>
      </c>
      <c r="W6">
        <v>1.17022E-3</v>
      </c>
      <c r="X6">
        <v>1.1416499999999999E-3</v>
      </c>
      <c r="Y6">
        <v>1.05368E-3</v>
      </c>
      <c r="Z6">
        <v>1.0387199999999999E-3</v>
      </c>
      <c r="AA6">
        <v>1.0379300000000001E-3</v>
      </c>
      <c r="AB6">
        <v>1.0273299999999999E-3</v>
      </c>
      <c r="AC6">
        <v>1.0154000000000001E-3</v>
      </c>
      <c r="AD6">
        <v>1.0041099999999999E-3</v>
      </c>
      <c r="AE6">
        <v>9.9277000000000002E-4</v>
      </c>
      <c r="AF6">
        <v>9.8138000000000001E-4</v>
      </c>
      <c r="AG6">
        <v>9.6953000000000002E-4</v>
      </c>
      <c r="AH6">
        <v>9.5754E-4</v>
      </c>
      <c r="AI6">
        <v>9.458E-4</v>
      </c>
      <c r="AJ6">
        <v>9.345E-4</v>
      </c>
      <c r="AK6">
        <v>9.2352999999999999E-4</v>
      </c>
      <c r="AL6">
        <v>9.1259000000000002E-4</v>
      </c>
      <c r="AM6">
        <v>9.0271999999999998E-4</v>
      </c>
      <c r="AN6">
        <v>8.9503E-4</v>
      </c>
      <c r="AO6">
        <v>8.8959E-4</v>
      </c>
      <c r="AP6">
        <v>8.8630999999999996E-4</v>
      </c>
      <c r="AQ6">
        <v>8.8471000000000003E-4</v>
      </c>
      <c r="AR6">
        <v>8.8425000000000005E-4</v>
      </c>
      <c r="AS6">
        <v>8.8221000000000003E-4</v>
      </c>
      <c r="AT6">
        <v>8.7808000000000005E-4</v>
      </c>
      <c r="AU6">
        <v>8.7184999999999997E-4</v>
      </c>
      <c r="AV6">
        <v>8.6311999999999999E-4</v>
      </c>
      <c r="AW6">
        <v>8.5413000000000004E-4</v>
      </c>
      <c r="AX6">
        <v>8.4528999999999995E-4</v>
      </c>
      <c r="AY6">
        <v>8.3642000000000005E-4</v>
      </c>
      <c r="AZ6">
        <v>8.2731999999999999E-4</v>
      </c>
      <c r="BA6">
        <v>8.1828999999999995E-4</v>
      </c>
      <c r="BB6">
        <v>8.0871999999999997E-4</v>
      </c>
      <c r="BC6">
        <v>7.9922999999999995E-4</v>
      </c>
      <c r="BD6">
        <v>7.8969000000000001E-4</v>
      </c>
      <c r="BE6">
        <v>7.7977999999999999E-4</v>
      </c>
      <c r="BF6">
        <v>7.7001999999999995E-4</v>
      </c>
      <c r="BG6">
        <v>7.5977E-4</v>
      </c>
      <c r="BH6">
        <v>7.4963000000000004E-4</v>
      </c>
      <c r="BI6">
        <v>7.3972000000000003E-4</v>
      </c>
      <c r="BJ6">
        <v>7.2957000000000002E-4</v>
      </c>
      <c r="BK6">
        <v>7.1975999999999995E-4</v>
      </c>
      <c r="BL6">
        <v>7.1013000000000001E-4</v>
      </c>
      <c r="BM6">
        <v>7.0052999999999999E-4</v>
      </c>
      <c r="BN6">
        <v>6.9138999999999995E-4</v>
      </c>
      <c r="BO6">
        <v>6.8227999999999995E-4</v>
      </c>
      <c r="BP6">
        <v>6.7329E-4</v>
      </c>
      <c r="BQ6">
        <v>6.6494000000000004E-4</v>
      </c>
      <c r="BR6">
        <v>6.5667999999999998E-4</v>
      </c>
      <c r="BS6">
        <v>6.4928999999999996E-4</v>
      </c>
      <c r="BT6">
        <v>6.4174999999999996E-4</v>
      </c>
      <c r="BU6">
        <v>6.3467999999999999E-4</v>
      </c>
      <c r="BV6">
        <v>6.2779999999999997E-4</v>
      </c>
      <c r="BW6">
        <v>6.2095E-4</v>
      </c>
      <c r="BX6">
        <v>6.1408000000000003E-4</v>
      </c>
      <c r="BY6">
        <v>6.0714999999999999E-4</v>
      </c>
      <c r="BZ6">
        <v>6.0046000000000003E-4</v>
      </c>
      <c r="CA6">
        <v>5.9371000000000001E-4</v>
      </c>
      <c r="CB6">
        <v>5.8681E-4</v>
      </c>
      <c r="CC6">
        <v>5.8005999999999997E-4</v>
      </c>
      <c r="CD6">
        <v>5.7308999999999995E-4</v>
      </c>
      <c r="CE6">
        <v>5.6618E-4</v>
      </c>
      <c r="CF6">
        <v>5.5957000000000001E-4</v>
      </c>
      <c r="CG6">
        <v>5.5203000000000001E-4</v>
      </c>
      <c r="CH6">
        <v>5.4522999999999996E-4</v>
      </c>
      <c r="CI6">
        <v>5.3837999999999998E-4</v>
      </c>
      <c r="CJ6">
        <v>5.3111E-4</v>
      </c>
      <c r="CK6">
        <v>5.2415000000000003E-4</v>
      </c>
      <c r="CL6">
        <v>5.1725999999999996E-4</v>
      </c>
      <c r="CM6">
        <v>5.1035000000000002E-4</v>
      </c>
      <c r="CN6">
        <v>5.0332999999999997E-4</v>
      </c>
      <c r="CO6">
        <v>4.9636000000000005E-4</v>
      </c>
      <c r="CP6">
        <v>4.8992999999999997E-4</v>
      </c>
      <c r="CQ6">
        <v>4.8308999999999998E-4</v>
      </c>
      <c r="CR6">
        <v>4.7665000000000001E-4</v>
      </c>
      <c r="CS6">
        <v>4.7017000000000001E-4</v>
      </c>
      <c r="CT6">
        <v>4.6398000000000001E-4</v>
      </c>
      <c r="CU6">
        <v>4.5810000000000002E-4</v>
      </c>
      <c r="CV6">
        <v>4.5192000000000002E-4</v>
      </c>
      <c r="CW6">
        <v>4.4593999999999998E-4</v>
      </c>
      <c r="CX6">
        <v>4.4064000000000001E-4</v>
      </c>
    </row>
    <row r="7" spans="1:102">
      <c r="A7" t="s">
        <v>327</v>
      </c>
      <c r="B7">
        <v>1.9325E-3</v>
      </c>
      <c r="C7">
        <v>1.93129E-3</v>
      </c>
      <c r="D7">
        <v>1.9166400000000001E-3</v>
      </c>
      <c r="E7">
        <v>1.9047000000000001E-3</v>
      </c>
      <c r="F7">
        <v>1.8996E-3</v>
      </c>
      <c r="G7">
        <v>1.83475E-3</v>
      </c>
      <c r="H7">
        <v>1.77092E-3</v>
      </c>
      <c r="I7">
        <v>1.7254799999999999E-3</v>
      </c>
      <c r="J7">
        <v>1.7044E-3</v>
      </c>
      <c r="K7">
        <v>1.6281500000000001E-3</v>
      </c>
      <c r="L7">
        <v>1.5804599999999999E-3</v>
      </c>
      <c r="M7">
        <v>1.5021800000000001E-3</v>
      </c>
      <c r="N7">
        <v>1.4460499999999999E-3</v>
      </c>
      <c r="O7">
        <v>1.38192E-3</v>
      </c>
      <c r="P7">
        <v>1.33607E-3</v>
      </c>
      <c r="Q7">
        <v>1.29677E-3</v>
      </c>
      <c r="R7">
        <v>1.26592E-3</v>
      </c>
      <c r="S7">
        <v>1.2422500000000001E-3</v>
      </c>
      <c r="T7">
        <v>1.22656E-3</v>
      </c>
      <c r="U7">
        <v>1.21788E-3</v>
      </c>
      <c r="V7">
        <v>1.20535E-3</v>
      </c>
      <c r="W7">
        <v>1.3226399999999999E-3</v>
      </c>
      <c r="X7">
        <v>1.3020099999999999E-3</v>
      </c>
      <c r="Y7">
        <v>1.20057E-3</v>
      </c>
      <c r="Z7">
        <v>1.18541E-3</v>
      </c>
      <c r="AA7">
        <v>1.1860600000000001E-3</v>
      </c>
      <c r="AB7">
        <v>1.17709E-3</v>
      </c>
      <c r="AC7">
        <v>1.16891E-3</v>
      </c>
      <c r="AD7">
        <v>1.1628000000000001E-3</v>
      </c>
      <c r="AE7">
        <v>1.1561399999999999E-3</v>
      </c>
      <c r="AF7">
        <v>1.14897E-3</v>
      </c>
      <c r="AG7">
        <v>1.14051E-3</v>
      </c>
      <c r="AH7">
        <v>1.13032E-3</v>
      </c>
      <c r="AI7">
        <v>1.1190499999999999E-3</v>
      </c>
      <c r="AJ7">
        <v>1.1074399999999999E-3</v>
      </c>
      <c r="AK7">
        <v>1.09599E-3</v>
      </c>
      <c r="AL7">
        <v>1.0846E-3</v>
      </c>
      <c r="AM7">
        <v>1.0729299999999999E-3</v>
      </c>
      <c r="AN7">
        <v>1.0612200000000001E-3</v>
      </c>
      <c r="AO7">
        <v>1.0498700000000001E-3</v>
      </c>
      <c r="AP7">
        <v>1.0387300000000001E-3</v>
      </c>
      <c r="AQ7">
        <v>1.02728E-3</v>
      </c>
      <c r="AR7">
        <v>1.0170999999999999E-3</v>
      </c>
      <c r="AS7">
        <v>1.00938E-3</v>
      </c>
      <c r="AT7">
        <v>1.00432E-3</v>
      </c>
      <c r="AU7">
        <v>1.0015200000000001E-3</v>
      </c>
      <c r="AV7">
        <v>1.00066E-3</v>
      </c>
      <c r="AW7">
        <v>1.0014100000000001E-3</v>
      </c>
      <c r="AX7">
        <v>1.0004300000000001E-3</v>
      </c>
      <c r="AY7">
        <v>9.968799999999999E-4</v>
      </c>
      <c r="AZ7">
        <v>9.9065999999999998E-4</v>
      </c>
      <c r="BA7">
        <v>9.8218000000000003E-4</v>
      </c>
      <c r="BB7">
        <v>9.7247999999999996E-4</v>
      </c>
      <c r="BC7">
        <v>9.6307000000000001E-4</v>
      </c>
      <c r="BD7">
        <v>9.5377999999999999E-4</v>
      </c>
      <c r="BE7">
        <v>9.4421000000000001E-4</v>
      </c>
      <c r="BF7">
        <v>9.3490999999999995E-4</v>
      </c>
      <c r="BG7">
        <v>9.2500000000000004E-4</v>
      </c>
      <c r="BH7">
        <v>9.1493E-4</v>
      </c>
      <c r="BI7">
        <v>9.0501000000000004E-4</v>
      </c>
      <c r="BJ7">
        <v>8.9455999999999997E-4</v>
      </c>
      <c r="BK7">
        <v>8.8405999999999999E-4</v>
      </c>
      <c r="BL7">
        <v>8.7345999999999995E-4</v>
      </c>
      <c r="BM7">
        <v>8.6271000000000004E-4</v>
      </c>
      <c r="BN7">
        <v>8.5212000000000005E-4</v>
      </c>
      <c r="BO7">
        <v>8.4132E-4</v>
      </c>
      <c r="BP7">
        <v>8.3060000000000002E-4</v>
      </c>
      <c r="BQ7">
        <v>8.2032000000000003E-4</v>
      </c>
      <c r="BR7">
        <v>8.0981E-4</v>
      </c>
      <c r="BS7">
        <v>8.0020000000000004E-4</v>
      </c>
      <c r="BT7">
        <v>7.9025000000000005E-4</v>
      </c>
      <c r="BU7">
        <v>7.8065000000000003E-4</v>
      </c>
      <c r="BV7">
        <v>7.716E-4</v>
      </c>
      <c r="BW7">
        <v>7.6292999999999999E-4</v>
      </c>
      <c r="BX7">
        <v>7.5447999999999997E-4</v>
      </c>
      <c r="BY7">
        <v>7.4631999999999997E-4</v>
      </c>
      <c r="BZ7">
        <v>7.3868000000000002E-4</v>
      </c>
      <c r="CA7">
        <v>7.3103000000000003E-4</v>
      </c>
      <c r="CB7">
        <v>7.2325999999999998E-4</v>
      </c>
      <c r="CC7">
        <v>7.1580999999999999E-4</v>
      </c>
      <c r="CD7">
        <v>7.0814999999999995E-4</v>
      </c>
      <c r="CE7">
        <v>7.0069000000000002E-4</v>
      </c>
      <c r="CF7">
        <v>6.9362999999999998E-4</v>
      </c>
      <c r="CG7">
        <v>6.8548999999999997E-4</v>
      </c>
      <c r="CH7">
        <v>6.7812999999999999E-4</v>
      </c>
      <c r="CI7">
        <v>6.7062000000000003E-4</v>
      </c>
      <c r="CJ7">
        <v>6.6266000000000003E-4</v>
      </c>
      <c r="CK7">
        <v>6.5503999999999996E-4</v>
      </c>
      <c r="CL7">
        <v>6.4731000000000001E-4</v>
      </c>
      <c r="CM7">
        <v>6.3951000000000004E-4</v>
      </c>
      <c r="CN7">
        <v>6.3152E-4</v>
      </c>
      <c r="CO7">
        <v>6.2330000000000003E-4</v>
      </c>
      <c r="CP7">
        <v>6.1556999999999996E-4</v>
      </c>
      <c r="CQ7">
        <v>6.0729000000000002E-4</v>
      </c>
      <c r="CR7">
        <v>5.9926000000000001E-4</v>
      </c>
      <c r="CS7">
        <v>5.9100999999999999E-4</v>
      </c>
      <c r="CT7">
        <v>5.8303000000000001E-4</v>
      </c>
      <c r="CU7">
        <v>5.7545999999999997E-4</v>
      </c>
      <c r="CV7">
        <v>5.6755E-4</v>
      </c>
      <c r="CW7">
        <v>5.5991999999999999E-4</v>
      </c>
      <c r="CX7">
        <v>5.5305999999999997E-4</v>
      </c>
    </row>
    <row r="8" spans="1:102">
      <c r="A8" t="s">
        <v>328</v>
      </c>
      <c r="B8">
        <v>2.1157099999999998E-3</v>
      </c>
      <c r="C8">
        <v>2.0994099999999999E-3</v>
      </c>
      <c r="D8">
        <v>2.0783899999999998E-3</v>
      </c>
      <c r="E8">
        <v>2.06843E-3</v>
      </c>
      <c r="F8">
        <v>2.0702799999999999E-3</v>
      </c>
      <c r="G8">
        <v>2.0150400000000001E-3</v>
      </c>
      <c r="H8">
        <v>1.9596800000000001E-3</v>
      </c>
      <c r="I8">
        <v>1.92874E-3</v>
      </c>
      <c r="J8">
        <v>1.9232800000000001E-3</v>
      </c>
      <c r="K8">
        <v>1.84005E-3</v>
      </c>
      <c r="L8">
        <v>1.7899700000000001E-3</v>
      </c>
      <c r="M8">
        <v>1.71112E-3</v>
      </c>
      <c r="N8">
        <v>1.64891E-3</v>
      </c>
      <c r="O8">
        <v>1.5796499999999999E-3</v>
      </c>
      <c r="P8">
        <v>1.53605E-3</v>
      </c>
      <c r="Q8">
        <v>1.5009299999999999E-3</v>
      </c>
      <c r="R8">
        <v>1.4680299999999999E-3</v>
      </c>
      <c r="S8">
        <v>1.43592E-3</v>
      </c>
      <c r="T8">
        <v>1.4044699999999999E-3</v>
      </c>
      <c r="U8">
        <v>1.3803299999999999E-3</v>
      </c>
      <c r="V8">
        <v>1.3813199999999999E-3</v>
      </c>
      <c r="W8">
        <v>1.51396E-3</v>
      </c>
      <c r="X8">
        <v>1.47317E-3</v>
      </c>
      <c r="Y8">
        <v>1.3401800000000001E-3</v>
      </c>
      <c r="Z8">
        <v>1.32453E-3</v>
      </c>
      <c r="AA8">
        <v>1.3312199999999999E-3</v>
      </c>
      <c r="AB8">
        <v>1.3296200000000001E-3</v>
      </c>
      <c r="AC8">
        <v>1.3243300000000001E-3</v>
      </c>
      <c r="AD8">
        <v>1.31952E-3</v>
      </c>
      <c r="AE8">
        <v>1.3147600000000001E-3</v>
      </c>
      <c r="AF8">
        <v>1.30887E-3</v>
      </c>
      <c r="AG8">
        <v>1.30174E-3</v>
      </c>
      <c r="AH8">
        <v>1.29524E-3</v>
      </c>
      <c r="AI8">
        <v>1.289E-3</v>
      </c>
      <c r="AJ8">
        <v>1.2819299999999999E-3</v>
      </c>
      <c r="AK8">
        <v>1.2748600000000001E-3</v>
      </c>
      <c r="AL8">
        <v>1.2671200000000001E-3</v>
      </c>
      <c r="AM8">
        <v>1.25741E-3</v>
      </c>
      <c r="AN8">
        <v>1.24632E-3</v>
      </c>
      <c r="AO8">
        <v>1.2347E-3</v>
      </c>
      <c r="AP8">
        <v>1.2229700000000001E-3</v>
      </c>
      <c r="AQ8">
        <v>1.21094E-3</v>
      </c>
      <c r="AR8">
        <v>1.1987199999999999E-3</v>
      </c>
      <c r="AS8">
        <v>1.1864099999999999E-3</v>
      </c>
      <c r="AT8">
        <v>1.1747400000000001E-3</v>
      </c>
      <c r="AU8">
        <v>1.1631199999999999E-3</v>
      </c>
      <c r="AV8">
        <v>1.15109E-3</v>
      </c>
      <c r="AW8">
        <v>1.1406299999999999E-3</v>
      </c>
      <c r="AX8">
        <v>1.1329199999999999E-3</v>
      </c>
      <c r="AY8">
        <v>1.1279899999999999E-3</v>
      </c>
      <c r="AZ8">
        <v>1.12546E-3</v>
      </c>
      <c r="BA8">
        <v>1.12576E-3</v>
      </c>
      <c r="BB8">
        <v>1.1269699999999999E-3</v>
      </c>
      <c r="BC8">
        <v>1.1263499999999999E-3</v>
      </c>
      <c r="BD8">
        <v>1.12291E-3</v>
      </c>
      <c r="BE8">
        <v>1.1164599999999999E-3</v>
      </c>
      <c r="BF8">
        <v>1.1076199999999999E-3</v>
      </c>
      <c r="BG8">
        <v>1.09738E-3</v>
      </c>
      <c r="BH8">
        <v>1.08719E-3</v>
      </c>
      <c r="BI8">
        <v>1.07741E-3</v>
      </c>
      <c r="BJ8">
        <v>1.06722E-3</v>
      </c>
      <c r="BK8">
        <v>1.05711E-3</v>
      </c>
      <c r="BL8">
        <v>1.04682E-3</v>
      </c>
      <c r="BM8">
        <v>1.0361000000000001E-3</v>
      </c>
      <c r="BN8">
        <v>1.02541E-3</v>
      </c>
      <c r="BO8">
        <v>1.01425E-3</v>
      </c>
      <c r="BP8">
        <v>1.0026600000000001E-3</v>
      </c>
      <c r="BQ8">
        <v>9.9124E-4</v>
      </c>
      <c r="BR8">
        <v>9.7937999999999996E-4</v>
      </c>
      <c r="BS8">
        <v>9.6809000000000001E-4</v>
      </c>
      <c r="BT8">
        <v>9.5617E-4</v>
      </c>
      <c r="BU8">
        <v>9.4454000000000001E-4</v>
      </c>
      <c r="BV8">
        <v>9.3329999999999997E-4</v>
      </c>
      <c r="BW8">
        <v>9.2208000000000004E-4</v>
      </c>
      <c r="BX8">
        <v>9.1102000000000002E-4</v>
      </c>
      <c r="BY8">
        <v>9.0010000000000003E-4</v>
      </c>
      <c r="BZ8">
        <v>8.8962000000000004E-4</v>
      </c>
      <c r="CA8">
        <v>8.7940999999999996E-4</v>
      </c>
      <c r="CB8">
        <v>8.6943000000000003E-4</v>
      </c>
      <c r="CC8">
        <v>8.6012000000000003E-4</v>
      </c>
      <c r="CD8">
        <v>8.5092999999999996E-4</v>
      </c>
      <c r="CE8">
        <v>8.4228999999999999E-4</v>
      </c>
      <c r="CF8">
        <v>8.3410999999999999E-4</v>
      </c>
      <c r="CG8">
        <v>8.2485999999999996E-4</v>
      </c>
      <c r="CH8">
        <v>8.1658000000000002E-4</v>
      </c>
      <c r="CI8">
        <v>8.0824E-4</v>
      </c>
      <c r="CJ8">
        <v>7.9955E-4</v>
      </c>
      <c r="CK8">
        <v>7.9133999999999997E-4</v>
      </c>
      <c r="CL8">
        <v>7.8295999999999997E-4</v>
      </c>
      <c r="CM8">
        <v>7.7441000000000001E-4</v>
      </c>
      <c r="CN8">
        <v>7.6557000000000003E-4</v>
      </c>
      <c r="CO8">
        <v>7.5646999999999997E-4</v>
      </c>
      <c r="CP8">
        <v>7.4788999999999997E-4</v>
      </c>
      <c r="CQ8">
        <v>7.3848999999999996E-4</v>
      </c>
      <c r="CR8">
        <v>7.2931000000000005E-4</v>
      </c>
      <c r="CS8">
        <v>7.1978999999999999E-4</v>
      </c>
      <c r="CT8">
        <v>7.1031000000000002E-4</v>
      </c>
      <c r="CU8">
        <v>7.0114999999999999E-4</v>
      </c>
      <c r="CV8">
        <v>6.9154000000000004E-4</v>
      </c>
      <c r="CW8">
        <v>6.8207000000000001E-4</v>
      </c>
      <c r="CX8">
        <v>6.7323000000000003E-4</v>
      </c>
    </row>
    <row r="9" spans="1:102">
      <c r="A9" t="s">
        <v>329</v>
      </c>
      <c r="B9">
        <v>2.4836099999999998E-3</v>
      </c>
      <c r="C9">
        <v>2.4330599999999999E-3</v>
      </c>
      <c r="D9">
        <v>2.40317E-3</v>
      </c>
      <c r="E9">
        <v>2.38471E-3</v>
      </c>
      <c r="F9">
        <v>2.3842300000000002E-3</v>
      </c>
      <c r="G9">
        <v>2.3075700000000001E-3</v>
      </c>
      <c r="H9">
        <v>2.23266E-3</v>
      </c>
      <c r="I9">
        <v>2.1768400000000002E-3</v>
      </c>
      <c r="J9">
        <v>2.1682099999999998E-3</v>
      </c>
      <c r="K9">
        <v>2.0796999999999999E-3</v>
      </c>
      <c r="L9">
        <v>2.0400700000000002E-3</v>
      </c>
      <c r="M9">
        <v>1.98278E-3</v>
      </c>
      <c r="N9">
        <v>1.9461599999999999E-3</v>
      </c>
      <c r="O9">
        <v>1.90639E-3</v>
      </c>
      <c r="P9">
        <v>1.88273E-3</v>
      </c>
      <c r="Q9">
        <v>1.85801E-3</v>
      </c>
      <c r="R9">
        <v>1.82934E-3</v>
      </c>
      <c r="S9">
        <v>1.7897200000000001E-3</v>
      </c>
      <c r="T9">
        <v>1.7527899999999999E-3</v>
      </c>
      <c r="U9">
        <v>1.72554E-3</v>
      </c>
      <c r="V9">
        <v>1.78641E-3</v>
      </c>
      <c r="W9">
        <v>1.9604100000000001E-3</v>
      </c>
      <c r="X9">
        <v>1.8855300000000001E-3</v>
      </c>
      <c r="Y9">
        <v>1.65865E-3</v>
      </c>
      <c r="Z9">
        <v>1.6148600000000001E-3</v>
      </c>
      <c r="AA9">
        <v>1.5967399999999999E-3</v>
      </c>
      <c r="AB9">
        <v>1.5800499999999999E-3</v>
      </c>
      <c r="AC9">
        <v>1.5715900000000001E-3</v>
      </c>
      <c r="AD9">
        <v>1.5682000000000001E-3</v>
      </c>
      <c r="AE9">
        <v>1.5669600000000001E-3</v>
      </c>
      <c r="AF9">
        <v>1.56909E-3</v>
      </c>
      <c r="AG9">
        <v>1.5696499999999999E-3</v>
      </c>
      <c r="AH9">
        <v>1.5655000000000001E-3</v>
      </c>
      <c r="AI9">
        <v>1.55999E-3</v>
      </c>
      <c r="AJ9">
        <v>1.55426E-3</v>
      </c>
      <c r="AK9">
        <v>1.5476800000000001E-3</v>
      </c>
      <c r="AL9">
        <v>1.5400699999999999E-3</v>
      </c>
      <c r="AM9">
        <v>1.53301E-3</v>
      </c>
      <c r="AN9">
        <v>1.52597E-3</v>
      </c>
      <c r="AO9">
        <v>1.518E-3</v>
      </c>
      <c r="AP9">
        <v>1.50993E-3</v>
      </c>
      <c r="AQ9">
        <v>1.50073E-3</v>
      </c>
      <c r="AR9">
        <v>1.48953E-3</v>
      </c>
      <c r="AS9">
        <v>1.4767000000000001E-3</v>
      </c>
      <c r="AT9">
        <v>1.4634100000000001E-3</v>
      </c>
      <c r="AU9">
        <v>1.4496999999999999E-3</v>
      </c>
      <c r="AV9">
        <v>1.4356900000000001E-3</v>
      </c>
      <c r="AW9">
        <v>1.4218099999999999E-3</v>
      </c>
      <c r="AX9">
        <v>1.40788E-3</v>
      </c>
      <c r="AY9">
        <v>1.39438E-3</v>
      </c>
      <c r="AZ9">
        <v>1.38093E-3</v>
      </c>
      <c r="BA9">
        <v>1.3676999999999999E-3</v>
      </c>
      <c r="BB9">
        <v>1.3551500000000001E-3</v>
      </c>
      <c r="BC9">
        <v>1.34593E-3</v>
      </c>
      <c r="BD9">
        <v>1.3401800000000001E-3</v>
      </c>
      <c r="BE9">
        <v>1.33734E-3</v>
      </c>
      <c r="BF9">
        <v>1.3380899999999999E-3</v>
      </c>
      <c r="BG9">
        <v>1.34016E-3</v>
      </c>
      <c r="BH9">
        <v>1.3399E-3</v>
      </c>
      <c r="BI9">
        <v>1.33662E-3</v>
      </c>
      <c r="BJ9">
        <v>1.32963E-3</v>
      </c>
      <c r="BK9">
        <v>1.31945E-3</v>
      </c>
      <c r="BL9">
        <v>1.3082E-3</v>
      </c>
      <c r="BM9">
        <v>1.29671E-3</v>
      </c>
      <c r="BN9">
        <v>1.2855200000000001E-3</v>
      </c>
      <c r="BO9">
        <v>1.2739800000000001E-3</v>
      </c>
      <c r="BP9">
        <v>1.2621100000000001E-3</v>
      </c>
      <c r="BQ9">
        <v>1.2503799999999999E-3</v>
      </c>
      <c r="BR9">
        <v>1.2379400000000001E-3</v>
      </c>
      <c r="BS9">
        <v>1.2259300000000001E-3</v>
      </c>
      <c r="BT9">
        <v>1.21301E-3</v>
      </c>
      <c r="BU9">
        <v>1.19984E-3</v>
      </c>
      <c r="BV9">
        <v>1.1869199999999999E-3</v>
      </c>
      <c r="BW9">
        <v>1.1737099999999999E-3</v>
      </c>
      <c r="BX9">
        <v>1.1602100000000001E-3</v>
      </c>
      <c r="BY9">
        <v>1.1465900000000001E-3</v>
      </c>
      <c r="BZ9">
        <v>1.1333700000000001E-3</v>
      </c>
      <c r="CA9">
        <v>1.1200699999999999E-3</v>
      </c>
      <c r="CB9">
        <v>1.10666E-3</v>
      </c>
      <c r="CC9">
        <v>1.0939700000000001E-3</v>
      </c>
      <c r="CD9">
        <v>1.08114E-3</v>
      </c>
      <c r="CE9">
        <v>1.0688500000000001E-3</v>
      </c>
      <c r="CF9">
        <v>1.0573500000000001E-3</v>
      </c>
      <c r="CG9">
        <v>1.0451099999999999E-3</v>
      </c>
      <c r="CH9">
        <v>1.03429E-3</v>
      </c>
      <c r="CI9">
        <v>1.0237899999999999E-3</v>
      </c>
      <c r="CJ9">
        <v>1.01329E-3</v>
      </c>
      <c r="CK9">
        <v>1.00347E-3</v>
      </c>
      <c r="CL9">
        <v>9.935600000000001E-4</v>
      </c>
      <c r="CM9">
        <v>9.8360000000000006E-4</v>
      </c>
      <c r="CN9">
        <v>9.7347999999999998E-4</v>
      </c>
      <c r="CO9">
        <v>9.6318E-4</v>
      </c>
      <c r="CP9">
        <v>9.5359000000000004E-4</v>
      </c>
      <c r="CQ9">
        <v>9.4302999999999998E-4</v>
      </c>
      <c r="CR9">
        <v>9.3263000000000005E-4</v>
      </c>
      <c r="CS9">
        <v>9.2173000000000005E-4</v>
      </c>
      <c r="CT9">
        <v>9.1085999999999999E-4</v>
      </c>
      <c r="CU9">
        <v>9.0025999999999995E-4</v>
      </c>
      <c r="CV9">
        <v>8.8887999999999999E-4</v>
      </c>
      <c r="CW9">
        <v>8.7766999999999999E-4</v>
      </c>
      <c r="CX9">
        <v>8.6702999999999997E-4</v>
      </c>
    </row>
    <row r="10" spans="1:102">
      <c r="A10" t="s">
        <v>330</v>
      </c>
      <c r="B10">
        <v>3.1097400000000002E-3</v>
      </c>
      <c r="C10">
        <v>3.0776200000000001E-3</v>
      </c>
      <c r="D10">
        <v>3.0447299999999998E-3</v>
      </c>
      <c r="E10">
        <v>2.9870700000000001E-3</v>
      </c>
      <c r="F10">
        <v>2.9407999999999999E-3</v>
      </c>
      <c r="G10">
        <v>2.8224000000000001E-3</v>
      </c>
      <c r="H10">
        <v>2.7185E-3</v>
      </c>
      <c r="I10">
        <v>2.6591800000000001E-3</v>
      </c>
      <c r="J10">
        <v>2.6615900000000001E-3</v>
      </c>
      <c r="K10">
        <v>2.5765900000000001E-3</v>
      </c>
      <c r="L10">
        <v>2.52915E-3</v>
      </c>
      <c r="M10">
        <v>2.4649400000000001E-3</v>
      </c>
      <c r="N10">
        <v>2.4077500000000002E-3</v>
      </c>
      <c r="O10">
        <v>2.35922E-3</v>
      </c>
      <c r="P10">
        <v>2.3309099999999998E-3</v>
      </c>
      <c r="Q10">
        <v>2.3120699999999998E-3</v>
      </c>
      <c r="R10">
        <v>2.29321E-3</v>
      </c>
      <c r="S10">
        <v>2.27421E-3</v>
      </c>
      <c r="T10">
        <v>2.2561399999999998E-3</v>
      </c>
      <c r="U10">
        <v>2.2426500000000001E-3</v>
      </c>
      <c r="V10">
        <v>2.3912999999999998E-3</v>
      </c>
      <c r="W10">
        <v>2.6478000000000001E-3</v>
      </c>
      <c r="X10">
        <v>2.5217099999999999E-3</v>
      </c>
      <c r="Y10">
        <v>2.18024E-3</v>
      </c>
      <c r="Z10">
        <v>2.1260200000000002E-3</v>
      </c>
      <c r="AA10">
        <v>2.10392E-3</v>
      </c>
      <c r="AB10">
        <v>2.0795700000000002E-3</v>
      </c>
      <c r="AC10">
        <v>2.0546499999999999E-3</v>
      </c>
      <c r="AD10">
        <v>2.0302300000000001E-3</v>
      </c>
      <c r="AE10">
        <v>2.0049899999999999E-3</v>
      </c>
      <c r="AF10">
        <v>1.98037E-3</v>
      </c>
      <c r="AG10">
        <v>1.96247E-3</v>
      </c>
      <c r="AH10">
        <v>1.9543E-3</v>
      </c>
      <c r="AI10">
        <v>1.94995E-3</v>
      </c>
      <c r="AJ10">
        <v>1.9475199999999999E-3</v>
      </c>
      <c r="AK10">
        <v>1.94937E-3</v>
      </c>
      <c r="AL10">
        <v>1.94948E-3</v>
      </c>
      <c r="AM10">
        <v>1.94432E-3</v>
      </c>
      <c r="AN10">
        <v>1.93753E-3</v>
      </c>
      <c r="AO10">
        <v>1.9304999999999999E-3</v>
      </c>
      <c r="AP10">
        <v>1.92212E-3</v>
      </c>
      <c r="AQ10">
        <v>1.9123899999999999E-3</v>
      </c>
      <c r="AR10">
        <v>1.9039199999999999E-3</v>
      </c>
      <c r="AS10">
        <v>1.8952800000000001E-3</v>
      </c>
      <c r="AT10">
        <v>1.88568E-3</v>
      </c>
      <c r="AU10">
        <v>1.87572E-3</v>
      </c>
      <c r="AV10">
        <v>1.8644899999999999E-3</v>
      </c>
      <c r="AW10">
        <v>1.8515199999999999E-3</v>
      </c>
      <c r="AX10">
        <v>1.8368600000000001E-3</v>
      </c>
      <c r="AY10">
        <v>1.82139E-3</v>
      </c>
      <c r="AZ10">
        <v>1.80572E-3</v>
      </c>
      <c r="BA10">
        <v>1.7908900000000001E-3</v>
      </c>
      <c r="BB10">
        <v>1.77484E-3</v>
      </c>
      <c r="BC10">
        <v>1.75877E-3</v>
      </c>
      <c r="BD10">
        <v>1.74343E-3</v>
      </c>
      <c r="BE10">
        <v>1.7282599999999999E-3</v>
      </c>
      <c r="BF10">
        <v>1.71346E-3</v>
      </c>
      <c r="BG10">
        <v>1.69929E-3</v>
      </c>
      <c r="BH10">
        <v>1.68907E-3</v>
      </c>
      <c r="BI10">
        <v>1.6835299999999999E-3</v>
      </c>
      <c r="BJ10">
        <v>1.6814099999999999E-3</v>
      </c>
      <c r="BK10">
        <v>1.6833499999999999E-3</v>
      </c>
      <c r="BL10">
        <v>1.6876E-3</v>
      </c>
      <c r="BM10">
        <v>1.6886E-3</v>
      </c>
      <c r="BN10">
        <v>1.6856200000000001E-3</v>
      </c>
      <c r="BO10">
        <v>1.6781999999999999E-3</v>
      </c>
      <c r="BP10">
        <v>1.66651E-3</v>
      </c>
      <c r="BQ10">
        <v>1.6538499999999999E-3</v>
      </c>
      <c r="BR10">
        <v>1.6407800000000001E-3</v>
      </c>
      <c r="BS10">
        <v>1.6284299999999999E-3</v>
      </c>
      <c r="BT10">
        <v>1.61535E-3</v>
      </c>
      <c r="BU10">
        <v>1.6021200000000001E-3</v>
      </c>
      <c r="BV10">
        <v>1.58935E-3</v>
      </c>
      <c r="BW10">
        <v>1.57584E-3</v>
      </c>
      <c r="BX10">
        <v>1.56185E-3</v>
      </c>
      <c r="BY10">
        <v>1.54758E-3</v>
      </c>
      <c r="BZ10">
        <v>1.53313E-3</v>
      </c>
      <c r="CA10">
        <v>1.51812E-3</v>
      </c>
      <c r="CB10">
        <v>1.5027E-3</v>
      </c>
      <c r="CC10">
        <v>1.48752E-3</v>
      </c>
      <c r="CD10">
        <v>1.47174E-3</v>
      </c>
      <c r="CE10">
        <v>1.4564599999999999E-3</v>
      </c>
      <c r="CF10">
        <v>1.4415999999999999E-3</v>
      </c>
      <c r="CG10">
        <v>1.42549E-3</v>
      </c>
      <c r="CH10">
        <v>1.4108599999999999E-3</v>
      </c>
      <c r="CI10">
        <v>1.39627E-3</v>
      </c>
      <c r="CJ10">
        <v>1.38156E-3</v>
      </c>
      <c r="CK10">
        <v>1.3680700000000001E-3</v>
      </c>
      <c r="CL10">
        <v>1.35491E-3</v>
      </c>
      <c r="CM10">
        <v>1.3420699999999999E-3</v>
      </c>
      <c r="CN10">
        <v>1.32964E-3</v>
      </c>
      <c r="CO10">
        <v>1.3174199999999999E-3</v>
      </c>
      <c r="CP10">
        <v>1.3061800000000001E-3</v>
      </c>
      <c r="CQ10">
        <v>1.29397E-3</v>
      </c>
      <c r="CR10">
        <v>1.2821E-3</v>
      </c>
      <c r="CS10">
        <v>1.26987E-3</v>
      </c>
      <c r="CT10">
        <v>1.25781E-3</v>
      </c>
      <c r="CU10">
        <v>1.24624E-3</v>
      </c>
      <c r="CV10">
        <v>1.2336999999999999E-3</v>
      </c>
      <c r="CW10">
        <v>1.2211500000000001E-3</v>
      </c>
      <c r="CX10">
        <v>1.20915E-3</v>
      </c>
    </row>
    <row r="11" spans="1:102">
      <c r="A11" t="s">
        <v>331</v>
      </c>
      <c r="B11">
        <v>4.0213799999999997E-3</v>
      </c>
      <c r="C11">
        <v>3.9415500000000003E-3</v>
      </c>
      <c r="D11">
        <v>3.9108700000000003E-3</v>
      </c>
      <c r="E11">
        <v>3.88048E-3</v>
      </c>
      <c r="F11">
        <v>3.8882500000000002E-3</v>
      </c>
      <c r="G11">
        <v>3.8259700000000002E-3</v>
      </c>
      <c r="H11">
        <v>3.7637899999999999E-3</v>
      </c>
      <c r="I11">
        <v>3.7147500000000002E-3</v>
      </c>
      <c r="J11">
        <v>3.6767700000000002E-3</v>
      </c>
      <c r="K11">
        <v>3.5294499999999999E-3</v>
      </c>
      <c r="L11">
        <v>3.4178300000000002E-3</v>
      </c>
      <c r="M11">
        <v>3.2958200000000001E-3</v>
      </c>
      <c r="N11">
        <v>3.2108499999999999E-3</v>
      </c>
      <c r="O11">
        <v>3.1537399999999999E-3</v>
      </c>
      <c r="P11">
        <v>3.1140199999999999E-3</v>
      </c>
      <c r="Q11">
        <v>3.0858499999999998E-3</v>
      </c>
      <c r="R11">
        <v>3.0409299999999998E-3</v>
      </c>
      <c r="S11">
        <v>2.9850499999999999E-3</v>
      </c>
      <c r="T11">
        <v>2.9350700000000001E-3</v>
      </c>
      <c r="U11">
        <v>2.9050299999999999E-3</v>
      </c>
      <c r="V11">
        <v>3.1486600000000002E-3</v>
      </c>
      <c r="W11">
        <v>3.5821899999999999E-3</v>
      </c>
      <c r="X11">
        <v>3.3980199999999999E-3</v>
      </c>
      <c r="Y11">
        <v>2.9171900000000001E-3</v>
      </c>
      <c r="Z11">
        <v>2.8596099999999998E-3</v>
      </c>
      <c r="AA11">
        <v>2.8383900000000001E-3</v>
      </c>
      <c r="AB11">
        <v>2.81497E-3</v>
      </c>
      <c r="AC11">
        <v>2.7844699999999998E-3</v>
      </c>
      <c r="AD11">
        <v>2.7534500000000002E-3</v>
      </c>
      <c r="AE11">
        <v>2.72594E-3</v>
      </c>
      <c r="AF11">
        <v>2.69813E-3</v>
      </c>
      <c r="AG11">
        <v>2.6694700000000002E-3</v>
      </c>
      <c r="AH11">
        <v>2.6412100000000002E-3</v>
      </c>
      <c r="AI11">
        <v>2.61122E-3</v>
      </c>
      <c r="AJ11">
        <v>2.5787399999999999E-3</v>
      </c>
      <c r="AK11">
        <v>2.5481200000000001E-3</v>
      </c>
      <c r="AL11">
        <v>2.52506E-3</v>
      </c>
      <c r="AM11">
        <v>2.5135700000000001E-3</v>
      </c>
      <c r="AN11">
        <v>2.50666E-3</v>
      </c>
      <c r="AO11">
        <v>2.5026200000000001E-3</v>
      </c>
      <c r="AP11">
        <v>2.5043800000000001E-3</v>
      </c>
      <c r="AQ11">
        <v>2.5039699999999999E-3</v>
      </c>
      <c r="AR11">
        <v>2.49702E-3</v>
      </c>
      <c r="AS11">
        <v>2.48766E-3</v>
      </c>
      <c r="AT11">
        <v>2.4781E-3</v>
      </c>
      <c r="AU11">
        <v>2.4668200000000002E-3</v>
      </c>
      <c r="AV11">
        <v>2.4536100000000002E-3</v>
      </c>
      <c r="AW11">
        <v>2.4421999999999998E-3</v>
      </c>
      <c r="AX11">
        <v>2.4304999999999999E-3</v>
      </c>
      <c r="AY11">
        <v>2.41713E-3</v>
      </c>
      <c r="AZ11">
        <v>2.4039199999999999E-3</v>
      </c>
      <c r="BA11">
        <v>2.3908200000000001E-3</v>
      </c>
      <c r="BB11">
        <v>2.3737799999999998E-3</v>
      </c>
      <c r="BC11">
        <v>2.3546800000000001E-3</v>
      </c>
      <c r="BD11">
        <v>2.3349299999999998E-3</v>
      </c>
      <c r="BE11">
        <v>2.3150900000000001E-3</v>
      </c>
      <c r="BF11">
        <v>2.2962099999999999E-3</v>
      </c>
      <c r="BG11">
        <v>2.2758000000000001E-3</v>
      </c>
      <c r="BH11">
        <v>2.2555700000000001E-3</v>
      </c>
      <c r="BI11">
        <v>2.2367899999999998E-3</v>
      </c>
      <c r="BJ11">
        <v>2.2177099999999999E-3</v>
      </c>
      <c r="BK11">
        <v>2.1982999999999998E-3</v>
      </c>
      <c r="BL11">
        <v>2.1808999999999999E-3</v>
      </c>
      <c r="BM11">
        <v>2.1676400000000002E-3</v>
      </c>
      <c r="BN11">
        <v>2.1598099999999999E-3</v>
      </c>
      <c r="BO11">
        <v>2.1564000000000002E-3</v>
      </c>
      <c r="BP11">
        <v>2.1576999999999998E-3</v>
      </c>
      <c r="BQ11">
        <v>2.1625400000000001E-3</v>
      </c>
      <c r="BR11">
        <v>2.1636400000000001E-3</v>
      </c>
      <c r="BS11">
        <v>2.1601900000000002E-3</v>
      </c>
      <c r="BT11">
        <v>2.1510399999999999E-3</v>
      </c>
      <c r="BU11">
        <v>2.1365199999999998E-3</v>
      </c>
      <c r="BV11">
        <v>2.1213099999999999E-3</v>
      </c>
      <c r="BW11">
        <v>2.10553E-3</v>
      </c>
      <c r="BX11">
        <v>2.0896399999999998E-3</v>
      </c>
      <c r="BY11">
        <v>2.0738000000000002E-3</v>
      </c>
      <c r="BZ11">
        <v>2.05799E-3</v>
      </c>
      <c r="CA11">
        <v>2.0415099999999999E-3</v>
      </c>
      <c r="CB11">
        <v>2.0243399999999999E-3</v>
      </c>
      <c r="CC11">
        <v>2.0073000000000001E-3</v>
      </c>
      <c r="CD11">
        <v>1.9892500000000001E-3</v>
      </c>
      <c r="CE11">
        <v>1.9711799999999999E-3</v>
      </c>
      <c r="CF11">
        <v>1.9529700000000001E-3</v>
      </c>
      <c r="CG11">
        <v>1.9329499999999999E-3</v>
      </c>
      <c r="CH11">
        <v>1.9138499999999999E-3</v>
      </c>
      <c r="CI11">
        <v>1.8942399999999999E-3</v>
      </c>
      <c r="CJ11">
        <v>1.8742100000000001E-3</v>
      </c>
      <c r="CK11">
        <v>1.8551399999999999E-3</v>
      </c>
      <c r="CL11">
        <v>1.8358999999999999E-3</v>
      </c>
      <c r="CM11">
        <v>1.8169200000000001E-3</v>
      </c>
      <c r="CN11">
        <v>1.7981900000000001E-3</v>
      </c>
      <c r="CO11">
        <v>1.77958E-3</v>
      </c>
      <c r="CP11">
        <v>1.7625900000000001E-3</v>
      </c>
      <c r="CQ11">
        <v>1.74504E-3</v>
      </c>
      <c r="CR11">
        <v>1.7284500000000001E-3</v>
      </c>
      <c r="CS11">
        <v>1.7121899999999999E-3</v>
      </c>
      <c r="CT11">
        <v>1.69663E-3</v>
      </c>
      <c r="CU11">
        <v>1.68199E-3</v>
      </c>
      <c r="CV11">
        <v>1.66651E-3</v>
      </c>
      <c r="CW11">
        <v>1.65135E-3</v>
      </c>
      <c r="CX11">
        <v>1.637E-3</v>
      </c>
    </row>
    <row r="12" spans="1:102">
      <c r="A12" t="s">
        <v>332</v>
      </c>
      <c r="B12">
        <v>5.9031099999999996E-3</v>
      </c>
      <c r="C12">
        <v>5.7358900000000004E-3</v>
      </c>
      <c r="D12">
        <v>5.6301500000000004E-3</v>
      </c>
      <c r="E12">
        <v>5.5387700000000002E-3</v>
      </c>
      <c r="F12">
        <v>5.4419200000000003E-3</v>
      </c>
      <c r="G12">
        <v>5.3025399999999997E-3</v>
      </c>
      <c r="H12">
        <v>5.1651300000000004E-3</v>
      </c>
      <c r="I12">
        <v>5.0796900000000004E-3</v>
      </c>
      <c r="J12">
        <v>5.0618299999999998E-3</v>
      </c>
      <c r="K12">
        <v>4.9598400000000001E-3</v>
      </c>
      <c r="L12">
        <v>4.9280299999999999E-3</v>
      </c>
      <c r="M12">
        <v>4.8895199999999996E-3</v>
      </c>
      <c r="N12">
        <v>4.8632800000000002E-3</v>
      </c>
      <c r="O12">
        <v>4.8302700000000002E-3</v>
      </c>
      <c r="P12">
        <v>4.7905400000000002E-3</v>
      </c>
      <c r="Q12">
        <v>4.7528300000000004E-3</v>
      </c>
      <c r="R12">
        <v>4.6702499999999999E-3</v>
      </c>
      <c r="S12">
        <v>4.5802600000000001E-3</v>
      </c>
      <c r="T12">
        <v>4.5000200000000004E-3</v>
      </c>
      <c r="U12">
        <v>4.4283200000000003E-3</v>
      </c>
      <c r="V12">
        <v>4.8304300000000001E-3</v>
      </c>
      <c r="W12">
        <v>5.4512500000000004E-3</v>
      </c>
      <c r="X12">
        <v>5.1271700000000003E-3</v>
      </c>
      <c r="Y12">
        <v>4.3244800000000003E-3</v>
      </c>
      <c r="Z12">
        <v>4.2202000000000003E-3</v>
      </c>
      <c r="AA12">
        <v>4.1880600000000004E-3</v>
      </c>
      <c r="AB12">
        <v>4.1737099999999997E-3</v>
      </c>
      <c r="AC12">
        <v>4.1602499999999999E-3</v>
      </c>
      <c r="AD12">
        <v>4.1487499999999997E-3</v>
      </c>
      <c r="AE12">
        <v>4.1331099999999997E-3</v>
      </c>
      <c r="AF12">
        <v>4.1061800000000001E-3</v>
      </c>
      <c r="AG12">
        <v>4.0704699999999996E-3</v>
      </c>
      <c r="AH12">
        <v>4.0260599999999997E-3</v>
      </c>
      <c r="AI12">
        <v>3.9798100000000003E-3</v>
      </c>
      <c r="AJ12">
        <v>3.9381199999999998E-3</v>
      </c>
      <c r="AK12">
        <v>3.8979700000000002E-3</v>
      </c>
      <c r="AL12">
        <v>3.8559499999999999E-3</v>
      </c>
      <c r="AM12">
        <v>3.81453E-3</v>
      </c>
      <c r="AN12">
        <v>3.7710899999999999E-3</v>
      </c>
      <c r="AO12">
        <v>3.7244000000000001E-3</v>
      </c>
      <c r="AP12">
        <v>3.6790299999999998E-3</v>
      </c>
      <c r="AQ12">
        <v>3.6440999999999999E-3</v>
      </c>
      <c r="AR12">
        <v>3.62634E-3</v>
      </c>
      <c r="AS12">
        <v>3.6143400000000002E-3</v>
      </c>
      <c r="AT12">
        <v>3.6063200000000001E-3</v>
      </c>
      <c r="AU12">
        <v>3.6064199999999999E-3</v>
      </c>
      <c r="AV12">
        <v>3.6026500000000002E-3</v>
      </c>
      <c r="AW12">
        <v>3.59071E-3</v>
      </c>
      <c r="AX12">
        <v>3.5756999999999998E-3</v>
      </c>
      <c r="AY12">
        <v>3.5590999999999999E-3</v>
      </c>
      <c r="AZ12">
        <v>3.5405100000000002E-3</v>
      </c>
      <c r="BA12">
        <v>3.5217400000000002E-3</v>
      </c>
      <c r="BB12">
        <v>3.5031300000000001E-3</v>
      </c>
      <c r="BC12">
        <v>3.4838999999999998E-3</v>
      </c>
      <c r="BD12">
        <v>3.4630500000000001E-3</v>
      </c>
      <c r="BE12">
        <v>3.4421899999999999E-3</v>
      </c>
      <c r="BF12">
        <v>3.4207899999999999E-3</v>
      </c>
      <c r="BG12">
        <v>3.3935100000000002E-3</v>
      </c>
      <c r="BH12">
        <v>3.3635700000000002E-3</v>
      </c>
      <c r="BI12">
        <v>3.3338600000000001E-3</v>
      </c>
      <c r="BJ12">
        <v>3.3038899999999999E-3</v>
      </c>
      <c r="BK12">
        <v>3.27466E-3</v>
      </c>
      <c r="BL12">
        <v>3.2456400000000002E-3</v>
      </c>
      <c r="BM12">
        <v>3.2161099999999999E-3</v>
      </c>
      <c r="BN12">
        <v>3.1884600000000002E-3</v>
      </c>
      <c r="BO12">
        <v>3.1604200000000002E-3</v>
      </c>
      <c r="BP12">
        <v>3.1320200000000001E-3</v>
      </c>
      <c r="BQ12">
        <v>3.1061399999999999E-3</v>
      </c>
      <c r="BR12">
        <v>3.08632E-3</v>
      </c>
      <c r="BS12">
        <v>3.0744399999999999E-3</v>
      </c>
      <c r="BT12">
        <v>3.0685899999999999E-3</v>
      </c>
      <c r="BU12">
        <v>3.06945E-3</v>
      </c>
      <c r="BV12">
        <v>3.0769E-3</v>
      </c>
      <c r="BW12">
        <v>3.0790800000000001E-3</v>
      </c>
      <c r="BX12">
        <v>3.0736600000000002E-3</v>
      </c>
      <c r="BY12">
        <v>3.0615600000000001E-3</v>
      </c>
      <c r="BZ12">
        <v>3.0423300000000002E-3</v>
      </c>
      <c r="CA12">
        <v>3.0199300000000001E-3</v>
      </c>
      <c r="CB12">
        <v>2.9973199999999999E-3</v>
      </c>
      <c r="CC12">
        <v>2.97547E-3</v>
      </c>
      <c r="CD12">
        <v>2.95261E-3</v>
      </c>
      <c r="CE12">
        <v>2.9302899999999999E-3</v>
      </c>
      <c r="CF12">
        <v>2.9076800000000002E-3</v>
      </c>
      <c r="CG12">
        <v>2.8824499999999999E-3</v>
      </c>
      <c r="CH12">
        <v>2.8584399999999999E-3</v>
      </c>
      <c r="CI12">
        <v>2.8331699999999999E-3</v>
      </c>
      <c r="CJ12">
        <v>2.8066100000000002E-3</v>
      </c>
      <c r="CK12">
        <v>2.7806699999999998E-3</v>
      </c>
      <c r="CL12">
        <v>2.7536800000000001E-3</v>
      </c>
      <c r="CM12">
        <v>2.7260100000000001E-3</v>
      </c>
      <c r="CN12">
        <v>2.6981900000000001E-3</v>
      </c>
      <c r="CO12">
        <v>2.6699200000000001E-3</v>
      </c>
      <c r="CP12">
        <v>2.64321E-3</v>
      </c>
      <c r="CQ12">
        <v>2.6150399999999999E-3</v>
      </c>
      <c r="CR12">
        <v>2.5880600000000001E-3</v>
      </c>
      <c r="CS12">
        <v>2.5611100000000001E-3</v>
      </c>
      <c r="CT12">
        <v>2.5350199999999998E-3</v>
      </c>
      <c r="CU12">
        <v>2.51075E-3</v>
      </c>
      <c r="CV12">
        <v>2.4862199999999999E-3</v>
      </c>
      <c r="CW12">
        <v>2.4628499999999999E-3</v>
      </c>
      <c r="CX12">
        <v>2.4416199999999998E-3</v>
      </c>
    </row>
    <row r="13" spans="1:102">
      <c r="A13" t="s">
        <v>333</v>
      </c>
      <c r="B13">
        <v>8.6281499999999994E-3</v>
      </c>
      <c r="C13">
        <v>8.4130100000000003E-3</v>
      </c>
      <c r="D13">
        <v>8.2648600000000006E-3</v>
      </c>
      <c r="E13">
        <v>8.0966700000000003E-3</v>
      </c>
      <c r="F13">
        <v>7.9666700000000003E-3</v>
      </c>
      <c r="G13">
        <v>7.7414800000000002E-3</v>
      </c>
      <c r="H13">
        <v>7.5229800000000003E-3</v>
      </c>
      <c r="I13">
        <v>7.3711100000000002E-3</v>
      </c>
      <c r="J13">
        <v>7.3046400000000003E-3</v>
      </c>
      <c r="K13">
        <v>7.0962999999999998E-3</v>
      </c>
      <c r="L13">
        <v>7.0016899999999997E-3</v>
      </c>
      <c r="M13">
        <v>6.9036100000000001E-3</v>
      </c>
      <c r="N13">
        <v>6.8373000000000001E-3</v>
      </c>
      <c r="O13">
        <v>6.8042600000000003E-3</v>
      </c>
      <c r="P13">
        <v>6.8037699999999998E-3</v>
      </c>
      <c r="Q13">
        <v>6.8369099999999999E-3</v>
      </c>
      <c r="R13">
        <v>6.8422200000000004E-3</v>
      </c>
      <c r="S13">
        <v>6.7935499999999998E-3</v>
      </c>
      <c r="T13">
        <v>6.6961800000000004E-3</v>
      </c>
      <c r="U13">
        <v>6.5527099999999998E-3</v>
      </c>
      <c r="V13">
        <v>7.2127800000000002E-3</v>
      </c>
      <c r="W13">
        <v>8.00119E-3</v>
      </c>
      <c r="X13">
        <v>7.4316199999999999E-3</v>
      </c>
      <c r="Y13">
        <v>6.2172E-3</v>
      </c>
      <c r="Z13">
        <v>6.0418599999999996E-3</v>
      </c>
      <c r="AA13">
        <v>5.9563899999999998E-3</v>
      </c>
      <c r="AB13">
        <v>5.8869500000000002E-3</v>
      </c>
      <c r="AC13">
        <v>5.8156700000000002E-3</v>
      </c>
      <c r="AD13">
        <v>5.7590699999999998E-3</v>
      </c>
      <c r="AE13">
        <v>5.7196699999999996E-3</v>
      </c>
      <c r="AF13">
        <v>5.6917499999999998E-3</v>
      </c>
      <c r="AG13">
        <v>5.6748299999999996E-3</v>
      </c>
      <c r="AH13">
        <v>5.6605700000000002E-3</v>
      </c>
      <c r="AI13">
        <v>5.6474200000000002E-3</v>
      </c>
      <c r="AJ13">
        <v>5.6266199999999997E-3</v>
      </c>
      <c r="AK13">
        <v>5.5923199999999996E-3</v>
      </c>
      <c r="AL13">
        <v>5.5441500000000003E-3</v>
      </c>
      <c r="AM13">
        <v>5.4834300000000001E-3</v>
      </c>
      <c r="AN13">
        <v>5.4213200000000003E-3</v>
      </c>
      <c r="AO13">
        <v>5.3669299999999998E-3</v>
      </c>
      <c r="AP13">
        <v>5.3132099999999996E-3</v>
      </c>
      <c r="AQ13">
        <v>5.2571299999999996E-3</v>
      </c>
      <c r="AR13">
        <v>5.2028100000000004E-3</v>
      </c>
      <c r="AS13">
        <v>5.1434699999999998E-3</v>
      </c>
      <c r="AT13">
        <v>5.0797200000000002E-3</v>
      </c>
      <c r="AU13">
        <v>5.0181999999999996E-3</v>
      </c>
      <c r="AV13">
        <v>4.9703400000000002E-3</v>
      </c>
      <c r="AW13">
        <v>4.9479399999999996E-3</v>
      </c>
      <c r="AX13">
        <v>4.9336099999999997E-3</v>
      </c>
      <c r="AY13">
        <v>4.9225900000000001E-3</v>
      </c>
      <c r="AZ13">
        <v>4.9227100000000003E-3</v>
      </c>
      <c r="BA13">
        <v>4.9204499999999998E-3</v>
      </c>
      <c r="BB13">
        <v>4.90363E-3</v>
      </c>
      <c r="BC13">
        <v>4.8826900000000003E-3</v>
      </c>
      <c r="BD13">
        <v>4.8614399999999999E-3</v>
      </c>
      <c r="BE13">
        <v>4.83718E-3</v>
      </c>
      <c r="BF13">
        <v>4.8122399999999997E-3</v>
      </c>
      <c r="BG13">
        <v>4.7870500000000002E-3</v>
      </c>
      <c r="BH13">
        <v>4.7613300000000002E-3</v>
      </c>
      <c r="BI13">
        <v>4.7339799999999996E-3</v>
      </c>
      <c r="BJ13">
        <v>4.7056600000000004E-3</v>
      </c>
      <c r="BK13">
        <v>4.6749399999999998E-3</v>
      </c>
      <c r="BL13">
        <v>4.6392400000000002E-3</v>
      </c>
      <c r="BM13">
        <v>4.5985799999999997E-3</v>
      </c>
      <c r="BN13">
        <v>4.5580799999999999E-3</v>
      </c>
      <c r="BO13">
        <v>4.5177300000000002E-3</v>
      </c>
      <c r="BP13">
        <v>4.4786599999999998E-3</v>
      </c>
      <c r="BQ13">
        <v>4.4385700000000002E-3</v>
      </c>
      <c r="BR13">
        <v>4.3984000000000002E-3</v>
      </c>
      <c r="BS13">
        <v>4.3608500000000003E-3</v>
      </c>
      <c r="BT13">
        <v>4.3227099999999996E-3</v>
      </c>
      <c r="BU13">
        <v>4.2834099999999996E-3</v>
      </c>
      <c r="BV13">
        <v>4.2496799999999996E-3</v>
      </c>
      <c r="BW13">
        <v>4.2237400000000001E-3</v>
      </c>
      <c r="BX13">
        <v>4.2070900000000001E-3</v>
      </c>
      <c r="BY13">
        <v>4.2000800000000001E-3</v>
      </c>
      <c r="BZ13">
        <v>4.2033299999999999E-3</v>
      </c>
      <c r="CA13">
        <v>4.2126000000000004E-3</v>
      </c>
      <c r="CB13">
        <v>4.2155700000000001E-3</v>
      </c>
      <c r="CC13">
        <v>4.2093199999999999E-3</v>
      </c>
      <c r="CD13">
        <v>4.1918700000000003E-3</v>
      </c>
      <c r="CE13">
        <v>4.1648800000000001E-3</v>
      </c>
      <c r="CF13">
        <v>4.1344900000000002E-3</v>
      </c>
      <c r="CG13">
        <v>4.1015100000000001E-3</v>
      </c>
      <c r="CH13">
        <v>4.07085E-3</v>
      </c>
      <c r="CI13">
        <v>4.0391300000000002E-3</v>
      </c>
      <c r="CJ13">
        <v>4.0061000000000003E-3</v>
      </c>
      <c r="CK13">
        <v>3.9741300000000002E-3</v>
      </c>
      <c r="CL13">
        <v>3.9403600000000004E-3</v>
      </c>
      <c r="CM13">
        <v>3.9057100000000002E-3</v>
      </c>
      <c r="CN13">
        <v>3.8704799999999999E-3</v>
      </c>
      <c r="CO13">
        <v>3.8335299999999999E-3</v>
      </c>
      <c r="CP13">
        <v>3.7976400000000001E-3</v>
      </c>
      <c r="CQ13">
        <v>3.7587300000000001E-3</v>
      </c>
      <c r="CR13">
        <v>3.7200200000000001E-3</v>
      </c>
      <c r="CS13">
        <v>3.6804099999999998E-3</v>
      </c>
      <c r="CT13">
        <v>3.6409900000000002E-3</v>
      </c>
      <c r="CU13">
        <v>3.60297E-3</v>
      </c>
      <c r="CV13">
        <v>3.5636800000000001E-3</v>
      </c>
      <c r="CW13">
        <v>3.52564E-3</v>
      </c>
      <c r="CX13">
        <v>3.48971E-3</v>
      </c>
    </row>
    <row r="14" spans="1:102">
      <c r="A14" t="s">
        <v>334</v>
      </c>
      <c r="B14">
        <v>1.3591600000000001E-2</v>
      </c>
      <c r="C14">
        <v>1.322156E-2</v>
      </c>
      <c r="D14">
        <v>1.3068110000000001E-2</v>
      </c>
      <c r="E14">
        <v>1.2876429999999999E-2</v>
      </c>
      <c r="F14">
        <v>1.267971E-2</v>
      </c>
      <c r="G14">
        <v>1.2463180000000001E-2</v>
      </c>
      <c r="H14">
        <v>1.221203E-2</v>
      </c>
      <c r="I14">
        <v>1.2013859999999999E-2</v>
      </c>
      <c r="J14">
        <v>1.188551E-2</v>
      </c>
      <c r="K14">
        <v>1.159751E-2</v>
      </c>
      <c r="L14">
        <v>1.1370369999999999E-2</v>
      </c>
      <c r="M14">
        <v>1.1128870000000001E-2</v>
      </c>
      <c r="N14">
        <v>1.090956E-2</v>
      </c>
      <c r="O14">
        <v>1.075751E-2</v>
      </c>
      <c r="P14">
        <v>1.058722E-2</v>
      </c>
      <c r="Q14">
        <v>1.048439E-2</v>
      </c>
      <c r="R14">
        <v>1.033939E-2</v>
      </c>
      <c r="S14">
        <v>1.02033E-2</v>
      </c>
      <c r="T14">
        <v>1.009407E-2</v>
      </c>
      <c r="U14">
        <v>1.00073E-2</v>
      </c>
      <c r="V14">
        <v>1.120081E-2</v>
      </c>
      <c r="W14">
        <v>1.278173E-2</v>
      </c>
      <c r="X14">
        <v>1.195966E-2</v>
      </c>
      <c r="Y14">
        <v>9.8714200000000005E-3</v>
      </c>
      <c r="Z14">
        <v>9.4982399999999998E-3</v>
      </c>
      <c r="AA14">
        <v>9.2775300000000008E-3</v>
      </c>
      <c r="AB14">
        <v>9.0884199999999998E-3</v>
      </c>
      <c r="AC14">
        <v>8.9390300000000006E-3</v>
      </c>
      <c r="AD14">
        <v>8.8398799999999996E-3</v>
      </c>
      <c r="AE14">
        <v>8.7479099999999994E-3</v>
      </c>
      <c r="AF14">
        <v>8.6468599999999993E-3</v>
      </c>
      <c r="AG14">
        <v>8.5434800000000009E-3</v>
      </c>
      <c r="AH14">
        <v>8.4398100000000007E-3</v>
      </c>
      <c r="AI14">
        <v>8.3561699999999996E-3</v>
      </c>
      <c r="AJ14">
        <v>8.2932400000000003E-3</v>
      </c>
      <c r="AK14">
        <v>8.2504299999999996E-3</v>
      </c>
      <c r="AL14">
        <v>8.2203899999999993E-3</v>
      </c>
      <c r="AM14">
        <v>8.1938600000000007E-3</v>
      </c>
      <c r="AN14">
        <v>8.1708000000000006E-3</v>
      </c>
      <c r="AO14">
        <v>8.1404100000000007E-3</v>
      </c>
      <c r="AP14">
        <v>8.0896100000000006E-3</v>
      </c>
      <c r="AQ14">
        <v>8.0204100000000004E-3</v>
      </c>
      <c r="AR14">
        <v>7.9367099999999996E-3</v>
      </c>
      <c r="AS14">
        <v>7.8488700000000008E-3</v>
      </c>
      <c r="AT14">
        <v>7.7716E-3</v>
      </c>
      <c r="AU14">
        <v>7.6962799999999998E-3</v>
      </c>
      <c r="AV14">
        <v>7.6160200000000003E-3</v>
      </c>
      <c r="AW14">
        <v>7.5406700000000002E-3</v>
      </c>
      <c r="AX14">
        <v>7.4586899999999996E-3</v>
      </c>
      <c r="AY14">
        <v>7.3672800000000004E-3</v>
      </c>
      <c r="AZ14">
        <v>7.2790299999999997E-3</v>
      </c>
      <c r="BA14">
        <v>7.2125599999999998E-3</v>
      </c>
      <c r="BB14">
        <v>7.1758899999999999E-3</v>
      </c>
      <c r="BC14">
        <v>7.1501500000000001E-3</v>
      </c>
      <c r="BD14">
        <v>7.13191E-3</v>
      </c>
      <c r="BE14">
        <v>7.1301200000000002E-3</v>
      </c>
      <c r="BF14">
        <v>7.1259599999999998E-3</v>
      </c>
      <c r="BG14">
        <v>7.1011099999999999E-3</v>
      </c>
      <c r="BH14">
        <v>7.0717200000000001E-3</v>
      </c>
      <c r="BI14">
        <v>7.0435799999999998E-3</v>
      </c>
      <c r="BJ14">
        <v>7.0098299999999999E-3</v>
      </c>
      <c r="BK14">
        <v>6.9726199999999997E-3</v>
      </c>
      <c r="BL14">
        <v>6.9398999999999997E-3</v>
      </c>
      <c r="BM14">
        <v>6.9047300000000004E-3</v>
      </c>
      <c r="BN14">
        <v>6.86756E-3</v>
      </c>
      <c r="BO14">
        <v>6.8299399999999996E-3</v>
      </c>
      <c r="BP14">
        <v>6.7901699999999999E-3</v>
      </c>
      <c r="BQ14">
        <v>6.7412699999999997E-3</v>
      </c>
      <c r="BR14">
        <v>6.6858799999999999E-3</v>
      </c>
      <c r="BS14">
        <v>6.6304900000000002E-3</v>
      </c>
      <c r="BT14">
        <v>6.5750599999999998E-3</v>
      </c>
      <c r="BU14">
        <v>6.5200700000000002E-3</v>
      </c>
      <c r="BV14">
        <v>6.4676999999999998E-3</v>
      </c>
      <c r="BW14">
        <v>6.4144800000000002E-3</v>
      </c>
      <c r="BX14">
        <v>6.3629999999999997E-3</v>
      </c>
      <c r="BY14">
        <v>6.3123900000000002E-3</v>
      </c>
      <c r="BZ14">
        <v>6.2609500000000004E-3</v>
      </c>
      <c r="CA14">
        <v>6.2120999999999999E-3</v>
      </c>
      <c r="CB14">
        <v>6.1758300000000002E-3</v>
      </c>
      <c r="CC14">
        <v>6.1545000000000002E-3</v>
      </c>
      <c r="CD14">
        <v>6.1449E-3</v>
      </c>
      <c r="CE14">
        <v>6.1516699999999997E-3</v>
      </c>
      <c r="CF14">
        <v>6.1695300000000003E-3</v>
      </c>
      <c r="CG14">
        <v>6.1753399999999996E-3</v>
      </c>
      <c r="CH14">
        <v>6.1690800000000004E-3</v>
      </c>
      <c r="CI14">
        <v>6.14637E-3</v>
      </c>
      <c r="CJ14">
        <v>6.1060899999999998E-3</v>
      </c>
      <c r="CK14">
        <v>6.0629600000000001E-3</v>
      </c>
      <c r="CL14">
        <v>6.0183299999999997E-3</v>
      </c>
      <c r="CM14">
        <v>5.9739299999999997E-3</v>
      </c>
      <c r="CN14">
        <v>5.9295299999999997E-3</v>
      </c>
      <c r="CO14">
        <v>5.8836000000000001E-3</v>
      </c>
      <c r="CP14">
        <v>5.83922E-3</v>
      </c>
      <c r="CQ14">
        <v>5.7902600000000002E-3</v>
      </c>
      <c r="CR14">
        <v>5.7413500000000001E-3</v>
      </c>
      <c r="CS14">
        <v>5.6907800000000003E-3</v>
      </c>
      <c r="CT14">
        <v>5.6386600000000002E-3</v>
      </c>
      <c r="CU14">
        <v>5.5870499999999997E-3</v>
      </c>
      <c r="CV14">
        <v>5.5318600000000004E-3</v>
      </c>
      <c r="CW14">
        <v>5.4762500000000002E-3</v>
      </c>
      <c r="CX14">
        <v>5.4220300000000004E-3</v>
      </c>
    </row>
    <row r="15" spans="1:102">
      <c r="A15" t="s">
        <v>335</v>
      </c>
      <c r="B15">
        <v>2.135254E-2</v>
      </c>
      <c r="C15">
        <v>2.0759690000000001E-2</v>
      </c>
      <c r="D15">
        <v>2.0515269999999999E-2</v>
      </c>
      <c r="E15">
        <v>2.0222159999999999E-2</v>
      </c>
      <c r="F15">
        <v>1.9897270000000002E-2</v>
      </c>
      <c r="G15">
        <v>1.9559489999999999E-2</v>
      </c>
      <c r="H15">
        <v>1.911181E-2</v>
      </c>
      <c r="I15">
        <v>1.884388E-2</v>
      </c>
      <c r="J15">
        <v>1.866276E-2</v>
      </c>
      <c r="K15">
        <v>1.829103E-2</v>
      </c>
      <c r="L15">
        <v>1.8103250000000001E-2</v>
      </c>
      <c r="M15">
        <v>1.7839830000000001E-2</v>
      </c>
      <c r="N15">
        <v>1.753584E-2</v>
      </c>
      <c r="O15">
        <v>1.7221E-2</v>
      </c>
      <c r="P15">
        <v>1.6933030000000002E-2</v>
      </c>
      <c r="Q15">
        <v>1.6654619999999998E-2</v>
      </c>
      <c r="R15">
        <v>1.631645E-2</v>
      </c>
      <c r="S15">
        <v>1.605415E-2</v>
      </c>
      <c r="T15">
        <v>1.5880229999999999E-2</v>
      </c>
      <c r="U15">
        <v>1.56607E-2</v>
      </c>
      <c r="V15">
        <v>1.722191E-2</v>
      </c>
      <c r="W15">
        <v>1.9165720000000001E-2</v>
      </c>
      <c r="X15">
        <v>1.800359E-2</v>
      </c>
      <c r="Y15">
        <v>1.5211219999999999E-2</v>
      </c>
      <c r="Z15">
        <v>1.480917E-2</v>
      </c>
      <c r="AA15">
        <v>1.467602E-2</v>
      </c>
      <c r="AB15">
        <v>1.4597229999999999E-2</v>
      </c>
      <c r="AC15">
        <v>1.448121E-2</v>
      </c>
      <c r="AD15">
        <v>1.42843E-2</v>
      </c>
      <c r="AE15">
        <v>1.4027039999999999E-2</v>
      </c>
      <c r="AF15">
        <v>1.3744579999999999E-2</v>
      </c>
      <c r="AG15">
        <v>1.345906E-2</v>
      </c>
      <c r="AH15">
        <v>1.3240740000000001E-2</v>
      </c>
      <c r="AI15">
        <v>1.3103119999999999E-2</v>
      </c>
      <c r="AJ15">
        <v>1.2973409999999999E-2</v>
      </c>
      <c r="AK15">
        <v>1.2836200000000001E-2</v>
      </c>
      <c r="AL15">
        <v>1.268977E-2</v>
      </c>
      <c r="AM15">
        <v>1.2542970000000001E-2</v>
      </c>
      <c r="AN15">
        <v>1.242971E-2</v>
      </c>
      <c r="AO15">
        <v>1.235088E-2</v>
      </c>
      <c r="AP15">
        <v>1.2297310000000001E-2</v>
      </c>
      <c r="AQ15">
        <v>1.2263710000000001E-2</v>
      </c>
      <c r="AR15">
        <v>1.223728E-2</v>
      </c>
      <c r="AS15">
        <v>1.221122E-2</v>
      </c>
      <c r="AT15">
        <v>1.217385E-2</v>
      </c>
      <c r="AU15">
        <v>1.210848E-2</v>
      </c>
      <c r="AV15">
        <v>1.2011839999999999E-2</v>
      </c>
      <c r="AW15">
        <v>1.1896540000000001E-2</v>
      </c>
      <c r="AX15">
        <v>1.177575E-2</v>
      </c>
      <c r="AY15">
        <v>1.1666599999999999E-2</v>
      </c>
      <c r="AZ15">
        <v>1.1561180000000001E-2</v>
      </c>
      <c r="BA15">
        <v>1.145432E-2</v>
      </c>
      <c r="BB15">
        <v>1.1346820000000001E-2</v>
      </c>
      <c r="BC15">
        <v>1.122769E-2</v>
      </c>
      <c r="BD15">
        <v>1.109653E-2</v>
      </c>
      <c r="BE15">
        <v>1.096974E-2</v>
      </c>
      <c r="BF15">
        <v>1.0875910000000001E-2</v>
      </c>
      <c r="BG15">
        <v>1.082461E-2</v>
      </c>
      <c r="BH15">
        <v>1.0791520000000001E-2</v>
      </c>
      <c r="BI15">
        <v>1.0773720000000001E-2</v>
      </c>
      <c r="BJ15">
        <v>1.0779260000000001E-2</v>
      </c>
      <c r="BK15">
        <v>1.0776890000000001E-2</v>
      </c>
      <c r="BL15">
        <v>1.07498E-2</v>
      </c>
      <c r="BM15">
        <v>1.071195E-2</v>
      </c>
      <c r="BN15">
        <v>1.067535E-2</v>
      </c>
      <c r="BO15">
        <v>1.063072E-2</v>
      </c>
      <c r="BP15">
        <v>1.05828E-2</v>
      </c>
      <c r="BQ15">
        <v>1.0538230000000001E-2</v>
      </c>
      <c r="BR15">
        <v>1.049165E-2</v>
      </c>
      <c r="BS15">
        <v>1.044177E-2</v>
      </c>
      <c r="BT15">
        <v>1.039087E-2</v>
      </c>
      <c r="BU15">
        <v>1.0332340000000001E-2</v>
      </c>
      <c r="BV15">
        <v>1.026579E-2</v>
      </c>
      <c r="BW15">
        <v>1.018813E-2</v>
      </c>
      <c r="BX15">
        <v>1.010745E-2</v>
      </c>
      <c r="BY15">
        <v>1.00304E-2</v>
      </c>
      <c r="BZ15">
        <v>9.9577299999999997E-3</v>
      </c>
      <c r="CA15">
        <v>9.8808999999999998E-3</v>
      </c>
      <c r="CB15">
        <v>9.8064199999999997E-3</v>
      </c>
      <c r="CC15">
        <v>9.7369499999999994E-3</v>
      </c>
      <c r="CD15">
        <v>9.6642700000000008E-3</v>
      </c>
      <c r="CE15">
        <v>9.5912099999999993E-3</v>
      </c>
      <c r="CF15">
        <v>9.5241500000000003E-3</v>
      </c>
      <c r="CG15">
        <v>9.4716399999999999E-3</v>
      </c>
      <c r="CH15">
        <v>9.4444400000000001E-3</v>
      </c>
      <c r="CI15">
        <v>9.4370200000000008E-3</v>
      </c>
      <c r="CJ15">
        <v>9.4511100000000004E-3</v>
      </c>
      <c r="CK15">
        <v>9.4857899999999992E-3</v>
      </c>
      <c r="CL15">
        <v>9.5047199999999995E-3</v>
      </c>
      <c r="CM15">
        <v>9.5004100000000008E-3</v>
      </c>
      <c r="CN15">
        <v>9.4719699999999997E-3</v>
      </c>
      <c r="CO15">
        <v>9.4170599999999997E-3</v>
      </c>
      <c r="CP15">
        <v>9.3572800000000008E-3</v>
      </c>
      <c r="CQ15">
        <v>9.2927900000000004E-3</v>
      </c>
      <c r="CR15">
        <v>9.2302900000000004E-3</v>
      </c>
      <c r="CS15">
        <v>9.1670499999999995E-3</v>
      </c>
      <c r="CT15">
        <v>9.1023400000000004E-3</v>
      </c>
      <c r="CU15">
        <v>9.0386900000000003E-3</v>
      </c>
      <c r="CV15">
        <v>8.9689599999999998E-3</v>
      </c>
      <c r="CW15">
        <v>8.8985100000000001E-3</v>
      </c>
      <c r="CX15">
        <v>8.8293199999999999E-3</v>
      </c>
    </row>
    <row r="16" spans="1:102">
      <c r="A16" t="s">
        <v>336</v>
      </c>
      <c r="B16">
        <v>3.3726359999999997E-2</v>
      </c>
      <c r="C16">
        <v>3.291169E-2</v>
      </c>
      <c r="D16">
        <v>3.2707359999999998E-2</v>
      </c>
      <c r="E16">
        <v>3.2420379999999999E-2</v>
      </c>
      <c r="F16">
        <v>3.1845760000000001E-2</v>
      </c>
      <c r="G16">
        <v>3.1482799999999998E-2</v>
      </c>
      <c r="H16">
        <v>3.0873270000000001E-2</v>
      </c>
      <c r="I16">
        <v>3.045666E-2</v>
      </c>
      <c r="J16">
        <v>3.0218269999999998E-2</v>
      </c>
      <c r="K16">
        <v>2.9648500000000001E-2</v>
      </c>
      <c r="L16">
        <v>2.926026E-2</v>
      </c>
      <c r="M16">
        <v>2.8650800000000001E-2</v>
      </c>
      <c r="N16">
        <v>2.8103280000000001E-2</v>
      </c>
      <c r="O16">
        <v>2.75549E-2</v>
      </c>
      <c r="P16">
        <v>2.7024360000000001E-2</v>
      </c>
      <c r="Q16">
        <v>2.674346E-2</v>
      </c>
      <c r="R16">
        <v>2.6302160000000002E-2</v>
      </c>
      <c r="S16">
        <v>2.5928860000000001E-2</v>
      </c>
      <c r="T16">
        <v>2.558289E-2</v>
      </c>
      <c r="U16">
        <v>2.5334189999999999E-2</v>
      </c>
      <c r="V16">
        <v>2.7329280000000001E-2</v>
      </c>
      <c r="W16">
        <v>2.995712E-2</v>
      </c>
      <c r="X16">
        <v>2.8308659999999999E-2</v>
      </c>
      <c r="Y16">
        <v>2.4215469999999999E-2</v>
      </c>
      <c r="Z16">
        <v>2.3550950000000001E-2</v>
      </c>
      <c r="AA16">
        <v>2.3263659999999999E-2</v>
      </c>
      <c r="AB16">
        <v>2.304558E-2</v>
      </c>
      <c r="AC16">
        <v>2.2830309999999999E-2</v>
      </c>
      <c r="AD16">
        <v>2.2609819999999999E-2</v>
      </c>
      <c r="AE16">
        <v>2.2425319999999999E-2</v>
      </c>
      <c r="AF16">
        <v>2.2272429999999999E-2</v>
      </c>
      <c r="AG16">
        <v>2.2131660000000001E-2</v>
      </c>
      <c r="AH16">
        <v>2.1945949999999999E-2</v>
      </c>
      <c r="AI16">
        <v>2.1666359999999999E-2</v>
      </c>
      <c r="AJ16">
        <v>2.1316359999999999E-2</v>
      </c>
      <c r="AK16">
        <v>2.0953719999999999E-2</v>
      </c>
      <c r="AL16">
        <v>2.0585590000000001E-2</v>
      </c>
      <c r="AM16">
        <v>2.0295710000000002E-2</v>
      </c>
      <c r="AN16">
        <v>2.0100420000000001E-2</v>
      </c>
      <c r="AO16">
        <v>1.9920070000000002E-2</v>
      </c>
      <c r="AP16">
        <v>1.9724680000000001E-2</v>
      </c>
      <c r="AQ16">
        <v>1.9515589999999999E-2</v>
      </c>
      <c r="AR16">
        <v>1.9311729999999999E-2</v>
      </c>
      <c r="AS16">
        <v>1.9146710000000001E-2</v>
      </c>
      <c r="AT16">
        <v>1.9024719999999998E-2</v>
      </c>
      <c r="AU16">
        <v>1.89427E-2</v>
      </c>
      <c r="AV16">
        <v>1.888281E-2</v>
      </c>
      <c r="AW16">
        <v>1.8840570000000001E-2</v>
      </c>
      <c r="AX16">
        <v>1.8798769999999999E-2</v>
      </c>
      <c r="AY16">
        <v>1.8736550000000001E-2</v>
      </c>
      <c r="AZ16">
        <v>1.8636679999999999E-2</v>
      </c>
      <c r="BA16">
        <v>1.8501219999999999E-2</v>
      </c>
      <c r="BB16">
        <v>1.833133E-2</v>
      </c>
      <c r="BC16">
        <v>1.815665E-2</v>
      </c>
      <c r="BD16">
        <v>1.8003080000000001E-2</v>
      </c>
      <c r="BE16">
        <v>1.7855200000000002E-2</v>
      </c>
      <c r="BF16">
        <v>1.7707210000000001E-2</v>
      </c>
      <c r="BG16">
        <v>1.7553920000000001E-2</v>
      </c>
      <c r="BH16">
        <v>1.7385560000000001E-2</v>
      </c>
      <c r="BI16">
        <v>1.7205129999999999E-2</v>
      </c>
      <c r="BJ16">
        <v>1.702538E-2</v>
      </c>
      <c r="BK16">
        <v>1.6887349999999999E-2</v>
      </c>
      <c r="BL16">
        <v>1.6820080000000001E-2</v>
      </c>
      <c r="BM16">
        <v>1.677418E-2</v>
      </c>
      <c r="BN16">
        <v>1.6751749999999999E-2</v>
      </c>
      <c r="BO16">
        <v>1.6763199999999999E-2</v>
      </c>
      <c r="BP16">
        <v>1.676675E-2</v>
      </c>
      <c r="BQ16">
        <v>1.6728860000000002E-2</v>
      </c>
      <c r="BR16">
        <v>1.667706E-2</v>
      </c>
      <c r="BS16">
        <v>1.6626680000000001E-2</v>
      </c>
      <c r="BT16">
        <v>1.6563540000000002E-2</v>
      </c>
      <c r="BU16">
        <v>1.648867E-2</v>
      </c>
      <c r="BV16">
        <v>1.6431350000000001E-2</v>
      </c>
      <c r="BW16">
        <v>1.6368690000000002E-2</v>
      </c>
      <c r="BX16">
        <v>1.6294699999999999E-2</v>
      </c>
      <c r="BY16">
        <v>1.6224160000000001E-2</v>
      </c>
      <c r="BZ16">
        <v>1.614846E-2</v>
      </c>
      <c r="CA16">
        <v>1.6044840000000001E-2</v>
      </c>
      <c r="CB16">
        <v>1.5929519999999999E-2</v>
      </c>
      <c r="CC16">
        <v>1.5814379999999999E-2</v>
      </c>
      <c r="CD16">
        <v>1.5699290000000001E-2</v>
      </c>
      <c r="CE16">
        <v>1.559368E-2</v>
      </c>
      <c r="CF16">
        <v>1.5485820000000001E-2</v>
      </c>
      <c r="CG16">
        <v>1.537549E-2</v>
      </c>
      <c r="CH16">
        <v>1.527571E-2</v>
      </c>
      <c r="CI16">
        <v>1.51722E-2</v>
      </c>
      <c r="CJ16">
        <v>1.506153E-2</v>
      </c>
      <c r="CK16">
        <v>1.4964470000000001E-2</v>
      </c>
      <c r="CL16">
        <v>1.4894040000000001E-2</v>
      </c>
      <c r="CM16">
        <v>1.485861E-2</v>
      </c>
      <c r="CN16">
        <v>1.485564E-2</v>
      </c>
      <c r="CO16">
        <v>1.488837E-2</v>
      </c>
      <c r="CP16">
        <v>1.495134E-2</v>
      </c>
      <c r="CQ16">
        <v>1.498594E-2</v>
      </c>
      <c r="CR16">
        <v>1.498567E-2</v>
      </c>
      <c r="CS16">
        <v>1.4948009999999999E-2</v>
      </c>
      <c r="CT16">
        <v>1.4870349999999999E-2</v>
      </c>
      <c r="CU16">
        <v>1.4783360000000001E-2</v>
      </c>
      <c r="CV16">
        <v>1.4690450000000001E-2</v>
      </c>
      <c r="CW16">
        <v>1.459919E-2</v>
      </c>
      <c r="CX16">
        <v>1.451237E-2</v>
      </c>
    </row>
    <row r="17" spans="1:102">
      <c r="A17" t="s">
        <v>337</v>
      </c>
      <c r="B17">
        <v>5.316924E-2</v>
      </c>
      <c r="C17">
        <v>5.1854190000000001E-2</v>
      </c>
      <c r="D17">
        <v>5.1601950000000001E-2</v>
      </c>
      <c r="E17">
        <v>5.140045E-2</v>
      </c>
      <c r="F17">
        <v>5.0316300000000001E-2</v>
      </c>
      <c r="G17">
        <v>4.9954980000000003E-2</v>
      </c>
      <c r="H17">
        <v>4.899883E-2</v>
      </c>
      <c r="I17">
        <v>4.83945E-2</v>
      </c>
      <c r="J17">
        <v>4.8002320000000001E-2</v>
      </c>
      <c r="K17">
        <v>4.7082390000000002E-2</v>
      </c>
      <c r="L17">
        <v>4.664306E-2</v>
      </c>
      <c r="M17">
        <v>4.585844E-2</v>
      </c>
      <c r="N17">
        <v>4.5227379999999998E-2</v>
      </c>
      <c r="O17">
        <v>4.453812E-2</v>
      </c>
      <c r="P17">
        <v>4.3833240000000002E-2</v>
      </c>
      <c r="Q17">
        <v>4.3380040000000002E-2</v>
      </c>
      <c r="R17">
        <v>4.2505840000000003E-2</v>
      </c>
      <c r="S17">
        <v>4.191247E-2</v>
      </c>
      <c r="T17">
        <v>4.1365989999999998E-2</v>
      </c>
      <c r="U17">
        <v>4.0767669999999999E-2</v>
      </c>
      <c r="V17">
        <v>4.3242870000000003E-2</v>
      </c>
      <c r="W17">
        <v>4.7173109999999997E-2</v>
      </c>
      <c r="X17">
        <v>4.4706490000000002E-2</v>
      </c>
      <c r="Y17">
        <v>3.9067520000000001E-2</v>
      </c>
      <c r="Z17">
        <v>3.7973300000000001E-2</v>
      </c>
      <c r="AA17">
        <v>3.7377359999999998E-2</v>
      </c>
      <c r="AB17">
        <v>3.6884769999999997E-2</v>
      </c>
      <c r="AC17">
        <v>3.6521820000000003E-2</v>
      </c>
      <c r="AD17">
        <v>3.6247170000000002E-2</v>
      </c>
      <c r="AE17">
        <v>3.597939E-2</v>
      </c>
      <c r="AF17">
        <v>3.5656159999999999E-2</v>
      </c>
      <c r="AG17">
        <v>3.5354129999999998E-2</v>
      </c>
      <c r="AH17">
        <v>3.5060250000000001E-2</v>
      </c>
      <c r="AI17">
        <v>3.475839E-2</v>
      </c>
      <c r="AJ17">
        <v>3.4496029999999997E-2</v>
      </c>
      <c r="AK17">
        <v>3.4290090000000002E-2</v>
      </c>
      <c r="AL17">
        <v>3.4085339999999999E-2</v>
      </c>
      <c r="AM17">
        <v>3.3803949999999999E-2</v>
      </c>
      <c r="AN17">
        <v>3.3391230000000001E-2</v>
      </c>
      <c r="AO17">
        <v>3.2900980000000003E-2</v>
      </c>
      <c r="AP17">
        <v>3.2405759999999999E-2</v>
      </c>
      <c r="AQ17">
        <v>3.1928459999999999E-2</v>
      </c>
      <c r="AR17">
        <v>3.15579E-2</v>
      </c>
      <c r="AS17">
        <v>3.127721E-2</v>
      </c>
      <c r="AT17">
        <v>3.100839E-2</v>
      </c>
      <c r="AU17">
        <v>3.073184E-2</v>
      </c>
      <c r="AV17">
        <v>3.0425629999999999E-2</v>
      </c>
      <c r="AW17">
        <v>3.0147319999999998E-2</v>
      </c>
      <c r="AX17">
        <v>2.9922710000000002E-2</v>
      </c>
      <c r="AY17">
        <v>2.974454E-2</v>
      </c>
      <c r="AZ17">
        <v>2.9621370000000001E-2</v>
      </c>
      <c r="BA17">
        <v>2.9541749999999999E-2</v>
      </c>
      <c r="BB17">
        <v>2.947116E-2</v>
      </c>
      <c r="BC17">
        <v>2.939978E-2</v>
      </c>
      <c r="BD17">
        <v>2.9302689999999999E-2</v>
      </c>
      <c r="BE17">
        <v>2.915212E-2</v>
      </c>
      <c r="BF17">
        <v>2.895729E-2</v>
      </c>
      <c r="BG17">
        <v>2.8711739999999999E-2</v>
      </c>
      <c r="BH17">
        <v>2.846359E-2</v>
      </c>
      <c r="BI17">
        <v>2.825629E-2</v>
      </c>
      <c r="BJ17">
        <v>2.8047929999999999E-2</v>
      </c>
      <c r="BK17">
        <v>2.7829619999999999E-2</v>
      </c>
      <c r="BL17">
        <v>2.7613370000000002E-2</v>
      </c>
      <c r="BM17">
        <v>2.7366140000000001E-2</v>
      </c>
      <c r="BN17">
        <v>2.7105979999999998E-2</v>
      </c>
      <c r="BO17">
        <v>2.6846890000000002E-2</v>
      </c>
      <c r="BP17">
        <v>2.665209E-2</v>
      </c>
      <c r="BQ17">
        <v>2.654844E-2</v>
      </c>
      <c r="BR17">
        <v>2.648213E-2</v>
      </c>
      <c r="BS17">
        <v>2.6447999999999999E-2</v>
      </c>
      <c r="BT17">
        <v>2.6455860000000001E-2</v>
      </c>
      <c r="BU17">
        <v>2.6439239999999999E-2</v>
      </c>
      <c r="BV17">
        <v>2.6387339999999999E-2</v>
      </c>
      <c r="BW17">
        <v>2.631141E-2</v>
      </c>
      <c r="BX17">
        <v>2.6225109999999999E-2</v>
      </c>
      <c r="BY17">
        <v>2.6128889999999998E-2</v>
      </c>
      <c r="BZ17">
        <v>2.6029839999999999E-2</v>
      </c>
      <c r="CA17">
        <v>2.593181E-2</v>
      </c>
      <c r="CB17">
        <v>2.583498E-2</v>
      </c>
      <c r="CC17">
        <v>2.5730469999999998E-2</v>
      </c>
      <c r="CD17">
        <v>2.5620159999999999E-2</v>
      </c>
      <c r="CE17">
        <v>2.5502170000000001E-2</v>
      </c>
      <c r="CF17">
        <v>2.5347359999999999E-2</v>
      </c>
      <c r="CG17">
        <v>2.5165960000000001E-2</v>
      </c>
      <c r="CH17">
        <v>2.4990109999999999E-2</v>
      </c>
      <c r="CI17">
        <v>2.481759E-2</v>
      </c>
      <c r="CJ17">
        <v>2.4652360000000002E-2</v>
      </c>
      <c r="CK17">
        <v>2.4490890000000001E-2</v>
      </c>
      <c r="CL17">
        <v>2.4331169999999999E-2</v>
      </c>
      <c r="CM17">
        <v>2.418236E-2</v>
      </c>
      <c r="CN17">
        <v>2.4027819999999998E-2</v>
      </c>
      <c r="CO17">
        <v>2.3866660000000001E-2</v>
      </c>
      <c r="CP17">
        <v>2.3724229999999999E-2</v>
      </c>
      <c r="CQ17">
        <v>2.3616479999999999E-2</v>
      </c>
      <c r="CR17">
        <v>2.356486E-2</v>
      </c>
      <c r="CS17">
        <v>2.3567520000000002E-2</v>
      </c>
      <c r="CT17">
        <v>2.362527E-2</v>
      </c>
      <c r="CU17">
        <v>2.3723210000000002E-2</v>
      </c>
      <c r="CV17">
        <v>2.37793E-2</v>
      </c>
      <c r="CW17">
        <v>2.377833E-2</v>
      </c>
      <c r="CX17">
        <v>2.3729099999999999E-2</v>
      </c>
    </row>
    <row r="18" spans="1:102">
      <c r="A18" t="s">
        <v>338</v>
      </c>
      <c r="B18">
        <v>8.8648770000000002E-2</v>
      </c>
      <c r="C18">
        <v>8.5897100000000004E-2</v>
      </c>
      <c r="D18">
        <v>8.5144940000000002E-2</v>
      </c>
      <c r="E18">
        <v>8.4477469999999999E-2</v>
      </c>
      <c r="F18">
        <v>8.2187280000000001E-2</v>
      </c>
      <c r="G18">
        <v>8.1682210000000005E-2</v>
      </c>
      <c r="H18">
        <v>8.0150250000000006E-2</v>
      </c>
      <c r="I18">
        <v>7.9399789999999998E-2</v>
      </c>
      <c r="J18">
        <v>7.9070130000000002E-2</v>
      </c>
      <c r="K18">
        <v>7.7741859999999996E-2</v>
      </c>
      <c r="L18">
        <v>7.7049980000000004E-2</v>
      </c>
      <c r="M18">
        <v>7.5727489999999995E-2</v>
      </c>
      <c r="N18">
        <v>7.4801099999999995E-2</v>
      </c>
      <c r="O18">
        <v>7.3485400000000006E-2</v>
      </c>
      <c r="P18">
        <v>7.1993489999999993E-2</v>
      </c>
      <c r="Q18">
        <v>7.1551749999999997E-2</v>
      </c>
      <c r="R18">
        <v>6.9905850000000005E-2</v>
      </c>
      <c r="S18">
        <v>6.9272479999999997E-2</v>
      </c>
      <c r="T18">
        <v>6.855965E-2</v>
      </c>
      <c r="U18">
        <v>6.7924880000000007E-2</v>
      </c>
      <c r="V18">
        <v>7.1909680000000004E-2</v>
      </c>
      <c r="W18">
        <v>7.7833169999999993E-2</v>
      </c>
      <c r="X18">
        <v>7.4521110000000002E-2</v>
      </c>
      <c r="Y18">
        <v>6.5649570000000004E-2</v>
      </c>
      <c r="Z18">
        <v>6.4030790000000004E-2</v>
      </c>
      <c r="AA18">
        <v>6.3337130000000005E-2</v>
      </c>
      <c r="AB18">
        <v>6.2738290000000002E-2</v>
      </c>
      <c r="AC18">
        <v>6.2005339999999999E-2</v>
      </c>
      <c r="AD18">
        <v>6.124156E-2</v>
      </c>
      <c r="AE18">
        <v>6.0537800000000003E-2</v>
      </c>
      <c r="AF18">
        <v>5.9803460000000003E-2</v>
      </c>
      <c r="AG18">
        <v>5.9145160000000002E-2</v>
      </c>
      <c r="AH18">
        <v>5.8694759999999999E-2</v>
      </c>
      <c r="AI18">
        <v>5.8386439999999998E-2</v>
      </c>
      <c r="AJ18">
        <v>5.8053399999999998E-2</v>
      </c>
      <c r="AK18">
        <v>5.764271E-2</v>
      </c>
      <c r="AL18">
        <v>5.7217940000000002E-2</v>
      </c>
      <c r="AM18">
        <v>5.6786469999999999E-2</v>
      </c>
      <c r="AN18">
        <v>5.6339559999999997E-2</v>
      </c>
      <c r="AO18">
        <v>5.5927480000000002E-2</v>
      </c>
      <c r="AP18">
        <v>5.5548979999999998E-2</v>
      </c>
      <c r="AQ18">
        <v>5.5159970000000003E-2</v>
      </c>
      <c r="AR18">
        <v>5.4684789999999997E-2</v>
      </c>
      <c r="AS18">
        <v>5.4068749999999999E-2</v>
      </c>
      <c r="AT18">
        <v>5.3415169999999998E-2</v>
      </c>
      <c r="AU18">
        <v>5.2805419999999999E-2</v>
      </c>
      <c r="AV18">
        <v>5.2223199999999997E-2</v>
      </c>
      <c r="AW18">
        <v>5.1749169999999997E-2</v>
      </c>
      <c r="AX18">
        <v>5.131372E-2</v>
      </c>
      <c r="AY18">
        <v>5.0873109999999999E-2</v>
      </c>
      <c r="AZ18">
        <v>5.0435849999999997E-2</v>
      </c>
      <c r="BA18">
        <v>4.9976359999999997E-2</v>
      </c>
      <c r="BB18">
        <v>4.9541969999999998E-2</v>
      </c>
      <c r="BC18">
        <v>4.917829E-2</v>
      </c>
      <c r="BD18">
        <v>4.8868620000000002E-2</v>
      </c>
      <c r="BE18">
        <v>4.862934E-2</v>
      </c>
      <c r="BF18">
        <v>4.8461530000000003E-2</v>
      </c>
      <c r="BG18">
        <v>4.8296360000000003E-2</v>
      </c>
      <c r="BH18">
        <v>4.8124849999999997E-2</v>
      </c>
      <c r="BI18">
        <v>4.7938550000000003E-2</v>
      </c>
      <c r="BJ18">
        <v>4.7676780000000002E-2</v>
      </c>
      <c r="BK18">
        <v>4.7356589999999997E-2</v>
      </c>
      <c r="BL18">
        <v>4.700066E-2</v>
      </c>
      <c r="BM18">
        <v>4.6633210000000001E-2</v>
      </c>
      <c r="BN18">
        <v>4.6328800000000003E-2</v>
      </c>
      <c r="BO18">
        <v>4.6019490000000003E-2</v>
      </c>
      <c r="BP18">
        <v>4.5700669999999999E-2</v>
      </c>
      <c r="BQ18">
        <v>4.53555E-2</v>
      </c>
      <c r="BR18">
        <v>4.4985110000000002E-2</v>
      </c>
      <c r="BS18">
        <v>4.459743E-2</v>
      </c>
      <c r="BT18">
        <v>4.4199670000000003E-2</v>
      </c>
      <c r="BU18">
        <v>4.38647E-2</v>
      </c>
      <c r="BV18">
        <v>4.3687570000000002E-2</v>
      </c>
      <c r="BW18">
        <v>4.3545239999999999E-2</v>
      </c>
      <c r="BX18">
        <v>4.3422009999999997E-2</v>
      </c>
      <c r="BY18">
        <v>4.3365880000000002E-2</v>
      </c>
      <c r="BZ18">
        <v>4.3302E-2</v>
      </c>
      <c r="CA18">
        <v>4.315509E-2</v>
      </c>
      <c r="CB18">
        <v>4.2995400000000003E-2</v>
      </c>
      <c r="CC18">
        <v>4.2843199999999998E-2</v>
      </c>
      <c r="CD18">
        <v>4.266172E-2</v>
      </c>
      <c r="CE18">
        <v>4.2483640000000003E-2</v>
      </c>
      <c r="CF18">
        <v>4.2319990000000002E-2</v>
      </c>
      <c r="CG18">
        <v>4.2146459999999997E-2</v>
      </c>
      <c r="CH18">
        <v>4.1968569999999997E-2</v>
      </c>
      <c r="CI18">
        <v>4.1779129999999998E-2</v>
      </c>
      <c r="CJ18">
        <v>4.156518E-2</v>
      </c>
      <c r="CK18">
        <v>4.1306089999999997E-2</v>
      </c>
      <c r="CL18">
        <v>4.1015910000000003E-2</v>
      </c>
      <c r="CM18">
        <v>4.0729370000000001E-2</v>
      </c>
      <c r="CN18">
        <v>4.044996E-2</v>
      </c>
      <c r="CO18">
        <v>4.0189000000000002E-2</v>
      </c>
      <c r="CP18">
        <v>3.9938899999999999E-2</v>
      </c>
      <c r="CQ18">
        <v>3.9683160000000002E-2</v>
      </c>
      <c r="CR18">
        <v>3.9440959999999997E-2</v>
      </c>
      <c r="CS18">
        <v>3.9200140000000001E-2</v>
      </c>
      <c r="CT18">
        <v>3.8951239999999998E-2</v>
      </c>
      <c r="CU18">
        <v>3.8715140000000002E-2</v>
      </c>
      <c r="CV18">
        <v>3.8541150000000003E-2</v>
      </c>
      <c r="CW18">
        <v>3.8442150000000001E-2</v>
      </c>
      <c r="CX18">
        <v>3.8440920000000003E-2</v>
      </c>
    </row>
    <row r="19" spans="1:102">
      <c r="A19" t="s">
        <v>339</v>
      </c>
      <c r="B19">
        <v>0.14114273999999999</v>
      </c>
      <c r="C19">
        <v>0.13778188999999999</v>
      </c>
      <c r="D19">
        <v>0.13746583000000001</v>
      </c>
      <c r="E19">
        <v>0.13795122000000001</v>
      </c>
      <c r="F19">
        <v>0.13386355</v>
      </c>
      <c r="G19">
        <v>0.13360506999999999</v>
      </c>
      <c r="H19">
        <v>0.13025225000000001</v>
      </c>
      <c r="I19">
        <v>0.12889759000000001</v>
      </c>
      <c r="J19">
        <v>0.12793062999999999</v>
      </c>
      <c r="K19">
        <v>0.1255271</v>
      </c>
      <c r="L19">
        <v>0.1242496</v>
      </c>
      <c r="M19">
        <v>0.12239011</v>
      </c>
      <c r="N19">
        <v>0.12135952999999999</v>
      </c>
      <c r="O19">
        <v>0.11949116999999999</v>
      </c>
      <c r="P19">
        <v>0.11666087</v>
      </c>
      <c r="Q19">
        <v>0.11675509000000001</v>
      </c>
      <c r="R19">
        <v>0.11390586</v>
      </c>
      <c r="S19">
        <v>0.11333746</v>
      </c>
      <c r="T19">
        <v>0.11171970000000001</v>
      </c>
      <c r="U19">
        <v>0.11011619</v>
      </c>
      <c r="V19">
        <v>0.11715324000000001</v>
      </c>
      <c r="W19">
        <v>0.12370761</v>
      </c>
      <c r="X19">
        <v>0.11942503</v>
      </c>
      <c r="Y19">
        <v>0.10822703</v>
      </c>
      <c r="Z19">
        <v>0.10631909</v>
      </c>
      <c r="AA19">
        <v>0.10547134</v>
      </c>
      <c r="AB19">
        <v>0.10459515</v>
      </c>
      <c r="AC19">
        <v>0.10361140000000001</v>
      </c>
      <c r="AD19">
        <v>0.10247302</v>
      </c>
      <c r="AE19">
        <v>0.10137143999999999</v>
      </c>
      <c r="AF19">
        <v>0.10046790999999999</v>
      </c>
      <c r="AG19">
        <v>9.9643990000000002E-2</v>
      </c>
      <c r="AH19">
        <v>9.8639370000000004E-2</v>
      </c>
      <c r="AI19">
        <v>9.7598740000000003E-2</v>
      </c>
      <c r="AJ19">
        <v>9.6656500000000006E-2</v>
      </c>
      <c r="AK19">
        <v>9.5807199999999995E-2</v>
      </c>
      <c r="AL19">
        <v>9.5012139999999995E-2</v>
      </c>
      <c r="AM19">
        <v>9.4450720000000002E-2</v>
      </c>
      <c r="AN19">
        <v>9.4083929999999996E-2</v>
      </c>
      <c r="AO19">
        <v>9.3649350000000006E-2</v>
      </c>
      <c r="AP19">
        <v>9.3072719999999998E-2</v>
      </c>
      <c r="AQ19">
        <v>9.2445260000000001E-2</v>
      </c>
      <c r="AR19">
        <v>9.1814240000000005E-2</v>
      </c>
      <c r="AS19">
        <v>9.1125419999999999E-2</v>
      </c>
      <c r="AT19">
        <v>9.0441170000000001E-2</v>
      </c>
      <c r="AU19">
        <v>8.9787989999999998E-2</v>
      </c>
      <c r="AV19">
        <v>8.9114380000000007E-2</v>
      </c>
      <c r="AW19">
        <v>8.8406239999999997E-2</v>
      </c>
      <c r="AX19">
        <v>8.7576840000000003E-2</v>
      </c>
      <c r="AY19">
        <v>8.6692679999999994E-2</v>
      </c>
      <c r="AZ19">
        <v>8.5854070000000005E-2</v>
      </c>
      <c r="BA19">
        <v>8.5095879999999999E-2</v>
      </c>
      <c r="BB19">
        <v>8.4408780000000003E-2</v>
      </c>
      <c r="BC19">
        <v>8.3720509999999998E-2</v>
      </c>
      <c r="BD19">
        <v>8.3036670000000007E-2</v>
      </c>
      <c r="BE19">
        <v>8.2350770000000004E-2</v>
      </c>
      <c r="BF19">
        <v>8.1658700000000001E-2</v>
      </c>
      <c r="BG19">
        <v>8.0981200000000003E-2</v>
      </c>
      <c r="BH19">
        <v>8.0383830000000003E-2</v>
      </c>
      <c r="BI19">
        <v>7.9870919999999998E-2</v>
      </c>
      <c r="BJ19">
        <v>7.9437339999999995E-2</v>
      </c>
      <c r="BK19">
        <v>7.9082780000000005E-2</v>
      </c>
      <c r="BL19">
        <v>7.8773350000000006E-2</v>
      </c>
      <c r="BM19">
        <v>7.8419000000000003E-2</v>
      </c>
      <c r="BN19">
        <v>7.8066250000000004E-2</v>
      </c>
      <c r="BO19">
        <v>7.7616809999999994E-2</v>
      </c>
      <c r="BP19">
        <v>7.7112840000000002E-2</v>
      </c>
      <c r="BQ19">
        <v>7.6520530000000003E-2</v>
      </c>
      <c r="BR19">
        <v>7.5956960000000004E-2</v>
      </c>
      <c r="BS19">
        <v>7.5456620000000002E-2</v>
      </c>
      <c r="BT19">
        <v>7.4939939999999997E-2</v>
      </c>
      <c r="BU19">
        <v>7.4379310000000004E-2</v>
      </c>
      <c r="BV19">
        <v>7.3850289999999999E-2</v>
      </c>
      <c r="BW19">
        <v>7.3257279999999994E-2</v>
      </c>
      <c r="BX19">
        <v>7.2609679999999996E-2</v>
      </c>
      <c r="BY19">
        <v>7.1969779999999997E-2</v>
      </c>
      <c r="BZ19">
        <v>7.1437399999999998E-2</v>
      </c>
      <c r="CA19">
        <v>7.1019139999999994E-2</v>
      </c>
      <c r="CB19">
        <v>7.067793E-2</v>
      </c>
      <c r="CC19">
        <v>7.0396719999999996E-2</v>
      </c>
      <c r="CD19">
        <v>7.0161929999999997E-2</v>
      </c>
      <c r="CE19">
        <v>6.9921540000000004E-2</v>
      </c>
      <c r="CF19">
        <v>6.9594840000000005E-2</v>
      </c>
      <c r="CG19">
        <v>6.9241800000000006E-2</v>
      </c>
      <c r="CH19">
        <v>6.8911429999999996E-2</v>
      </c>
      <c r="CI19">
        <v>6.8534880000000006E-2</v>
      </c>
      <c r="CJ19">
        <v>6.8156809999999998E-2</v>
      </c>
      <c r="CK19">
        <v>6.7810200000000001E-2</v>
      </c>
      <c r="CL19">
        <v>6.7458279999999995E-2</v>
      </c>
      <c r="CM19">
        <v>6.7090179999999999E-2</v>
      </c>
      <c r="CN19">
        <v>6.6713809999999998E-2</v>
      </c>
      <c r="CO19">
        <v>6.6298960000000004E-2</v>
      </c>
      <c r="CP19">
        <v>6.5839490000000001E-2</v>
      </c>
      <c r="CQ19">
        <v>6.5324690000000005E-2</v>
      </c>
      <c r="CR19">
        <v>6.4811629999999995E-2</v>
      </c>
      <c r="CS19">
        <v>6.4329330000000004E-2</v>
      </c>
      <c r="CT19">
        <v>6.3882350000000004E-2</v>
      </c>
      <c r="CU19">
        <v>6.3424939999999999E-2</v>
      </c>
      <c r="CV19">
        <v>6.2982109999999994E-2</v>
      </c>
      <c r="CW19">
        <v>6.2531619999999996E-2</v>
      </c>
      <c r="CX19">
        <v>6.2110760000000001E-2</v>
      </c>
    </row>
    <row r="20" spans="1:102">
      <c r="A20" t="s">
        <v>340</v>
      </c>
      <c r="B20">
        <v>0.21943919000000001</v>
      </c>
      <c r="C20">
        <v>0.21493752999999999</v>
      </c>
      <c r="D20">
        <v>0.21528838</v>
      </c>
      <c r="E20">
        <v>0.21656702999999999</v>
      </c>
      <c r="F20">
        <v>0.20822672</v>
      </c>
      <c r="G20">
        <v>0.20994837</v>
      </c>
      <c r="H20">
        <v>0.20501153</v>
      </c>
      <c r="I20">
        <v>0.20383308</v>
      </c>
      <c r="J20">
        <v>0.20417263999999999</v>
      </c>
      <c r="K20">
        <v>0.19983239999999999</v>
      </c>
      <c r="L20">
        <v>0.19936235999999999</v>
      </c>
      <c r="M20">
        <v>0.1963867</v>
      </c>
      <c r="N20">
        <v>0.19525965000000001</v>
      </c>
      <c r="O20">
        <v>0.19170327000000001</v>
      </c>
      <c r="P20">
        <v>0.18720787999999999</v>
      </c>
      <c r="Q20">
        <v>0.18862993</v>
      </c>
      <c r="R20">
        <v>0.18323249999999999</v>
      </c>
      <c r="S20">
        <v>0.18330019</v>
      </c>
      <c r="T20">
        <v>0.18013670000000001</v>
      </c>
      <c r="U20">
        <v>0.17679233999999999</v>
      </c>
      <c r="V20">
        <v>0.18424051999999999</v>
      </c>
      <c r="W20">
        <v>0.18823512000000001</v>
      </c>
      <c r="X20">
        <v>0.18510555000000001</v>
      </c>
      <c r="Y20">
        <v>0.17499372999999999</v>
      </c>
      <c r="Z20">
        <v>0.17259611</v>
      </c>
      <c r="AA20">
        <v>0.17144290000000001</v>
      </c>
      <c r="AB20">
        <v>0.17041691</v>
      </c>
      <c r="AC20">
        <v>0.16952829999999999</v>
      </c>
      <c r="AD20">
        <v>0.16865512999999999</v>
      </c>
      <c r="AE20">
        <v>0.16775375000000001</v>
      </c>
      <c r="AF20">
        <v>0.16662483</v>
      </c>
      <c r="AG20">
        <v>0.16538984000000001</v>
      </c>
      <c r="AH20">
        <v>0.16403166999999999</v>
      </c>
      <c r="AI20">
        <v>0.16254193</v>
      </c>
      <c r="AJ20">
        <v>0.16116895000000001</v>
      </c>
      <c r="AK20">
        <v>0.16017493999999999</v>
      </c>
      <c r="AL20">
        <v>0.15922739999999999</v>
      </c>
      <c r="AM20">
        <v>0.15800455999999999</v>
      </c>
      <c r="AN20">
        <v>0.15675285999999999</v>
      </c>
      <c r="AO20">
        <v>0.15561552000000001</v>
      </c>
      <c r="AP20">
        <v>0.15462825999999999</v>
      </c>
      <c r="AQ20">
        <v>0.15365372999999999</v>
      </c>
      <c r="AR20">
        <v>0.15295901000000001</v>
      </c>
      <c r="AS20">
        <v>0.15249942999999999</v>
      </c>
      <c r="AT20">
        <v>0.15196067999999999</v>
      </c>
      <c r="AU20">
        <v>0.15121644000000001</v>
      </c>
      <c r="AV20">
        <v>0.15033357999999999</v>
      </c>
      <c r="AW20">
        <v>0.14944123000000001</v>
      </c>
      <c r="AX20">
        <v>0.14842553</v>
      </c>
      <c r="AY20">
        <v>0.14730879</v>
      </c>
      <c r="AZ20">
        <v>0.14620014000000001</v>
      </c>
      <c r="BA20">
        <v>0.14510041000000001</v>
      </c>
      <c r="BB20">
        <v>0.14392286000000001</v>
      </c>
      <c r="BC20">
        <v>0.14267922</v>
      </c>
      <c r="BD20">
        <v>0.14156367</v>
      </c>
      <c r="BE20">
        <v>0.14061924000000001</v>
      </c>
      <c r="BF20">
        <v>0.13992009999999999</v>
      </c>
      <c r="BG20">
        <v>0.13911364000000001</v>
      </c>
      <c r="BH20">
        <v>0.13806225</v>
      </c>
      <c r="BI20">
        <v>0.13700496000000001</v>
      </c>
      <c r="BJ20">
        <v>0.13597102999999999</v>
      </c>
      <c r="BK20">
        <v>0.13491597999999999</v>
      </c>
      <c r="BL20">
        <v>0.13399746000000001</v>
      </c>
      <c r="BM20">
        <v>0.13305955999999999</v>
      </c>
      <c r="BN20">
        <v>0.13221898000000001</v>
      </c>
      <c r="BO20">
        <v>0.1314236</v>
      </c>
      <c r="BP20">
        <v>0.13076185000000001</v>
      </c>
      <c r="BQ20">
        <v>0.13002881999999999</v>
      </c>
      <c r="BR20">
        <v>0.12934471</v>
      </c>
      <c r="BS20">
        <v>0.12860157</v>
      </c>
      <c r="BT20">
        <v>0.12776612000000001</v>
      </c>
      <c r="BU20">
        <v>0.12686312999999999</v>
      </c>
      <c r="BV20">
        <v>0.12600626000000001</v>
      </c>
      <c r="BW20">
        <v>0.12514810000000001</v>
      </c>
      <c r="BX20">
        <v>0.1243413</v>
      </c>
      <c r="BY20">
        <v>0.12353</v>
      </c>
      <c r="BZ20">
        <v>0.12270494999999999</v>
      </c>
      <c r="CA20">
        <v>0.12175621</v>
      </c>
      <c r="CB20">
        <v>0.12082133</v>
      </c>
      <c r="CC20">
        <v>0.11989849</v>
      </c>
      <c r="CD20">
        <v>0.1189235</v>
      </c>
      <c r="CE20">
        <v>0.11807544</v>
      </c>
      <c r="CF20">
        <v>0.11736169</v>
      </c>
      <c r="CG20">
        <v>0.1166925</v>
      </c>
      <c r="CH20">
        <v>0.11608327</v>
      </c>
      <c r="CI20">
        <v>0.11544538</v>
      </c>
      <c r="CJ20">
        <v>0.11478215</v>
      </c>
      <c r="CK20">
        <v>0.11405684000000001</v>
      </c>
      <c r="CL20">
        <v>0.11333134</v>
      </c>
      <c r="CM20">
        <v>0.11262442</v>
      </c>
      <c r="CN20">
        <v>0.11190774000000001</v>
      </c>
      <c r="CO20">
        <v>0.11117753</v>
      </c>
      <c r="CP20">
        <v>0.11054872</v>
      </c>
      <c r="CQ20">
        <v>0.10988501000000001</v>
      </c>
      <c r="CR20">
        <v>0.10918745000000001</v>
      </c>
      <c r="CS20">
        <v>0.10849341999999999</v>
      </c>
      <c r="CT20">
        <v>0.10777372</v>
      </c>
      <c r="CU20">
        <v>0.10694193</v>
      </c>
      <c r="CV20">
        <v>0.10609964</v>
      </c>
      <c r="CW20">
        <v>0.10519708999999999</v>
      </c>
      <c r="CX20">
        <v>0.10437559</v>
      </c>
    </row>
    <row r="21" spans="1:102">
      <c r="A21" t="s">
        <v>341</v>
      </c>
      <c r="B21">
        <v>0.32370405000000002</v>
      </c>
      <c r="C21">
        <v>0.32017044</v>
      </c>
      <c r="D21">
        <v>0.32218606</v>
      </c>
      <c r="E21">
        <v>0.32507698000000002</v>
      </c>
      <c r="F21">
        <v>0.31219349000000002</v>
      </c>
      <c r="G21">
        <v>0.31552034000000001</v>
      </c>
      <c r="H21">
        <v>0.30823655</v>
      </c>
      <c r="I21">
        <v>0.30678427000000003</v>
      </c>
      <c r="J21">
        <v>0.30907667999999999</v>
      </c>
      <c r="K21">
        <v>0.30282442999999998</v>
      </c>
      <c r="L21">
        <v>0.30320406</v>
      </c>
      <c r="M21">
        <v>0.30048390000000003</v>
      </c>
      <c r="N21">
        <v>0.30076310000000001</v>
      </c>
      <c r="O21">
        <v>0.29578613999999998</v>
      </c>
      <c r="P21">
        <v>0.29051409</v>
      </c>
      <c r="Q21">
        <v>0.29248322999999998</v>
      </c>
      <c r="R21">
        <v>0.28471900999999999</v>
      </c>
      <c r="S21">
        <v>0.28632221000000002</v>
      </c>
      <c r="T21">
        <v>0.2817751</v>
      </c>
      <c r="U21">
        <v>0.27634578999999998</v>
      </c>
      <c r="V21">
        <v>0.28294835000000002</v>
      </c>
      <c r="W21">
        <v>0.28540758999999999</v>
      </c>
      <c r="X21">
        <v>0.28489423000000003</v>
      </c>
      <c r="Y21">
        <v>0.27731072000000001</v>
      </c>
      <c r="Z21">
        <v>0.27479608</v>
      </c>
      <c r="AA21">
        <v>0.27333591000000002</v>
      </c>
      <c r="AB21">
        <v>0.27188575999999998</v>
      </c>
      <c r="AC21">
        <v>0.27048647999999997</v>
      </c>
      <c r="AD21">
        <v>0.26912339000000002</v>
      </c>
      <c r="AE21">
        <v>0.26786222999999998</v>
      </c>
      <c r="AF21">
        <v>0.26658806000000002</v>
      </c>
      <c r="AG21">
        <v>0.26542347999999999</v>
      </c>
      <c r="AH21">
        <v>0.26432149999999999</v>
      </c>
      <c r="AI21">
        <v>0.26326083</v>
      </c>
      <c r="AJ21">
        <v>0.26216894000000002</v>
      </c>
      <c r="AK21">
        <v>0.26093781999999999</v>
      </c>
      <c r="AL21">
        <v>0.25951845000000001</v>
      </c>
      <c r="AM21">
        <v>0.25792458000000001</v>
      </c>
      <c r="AN21">
        <v>0.25638792999999999</v>
      </c>
      <c r="AO21">
        <v>0.25507533999999998</v>
      </c>
      <c r="AP21">
        <v>0.25421431</v>
      </c>
      <c r="AQ21">
        <v>0.25334965999999998</v>
      </c>
      <c r="AR21">
        <v>0.25201889999999999</v>
      </c>
      <c r="AS21">
        <v>0.25050993999999999</v>
      </c>
      <c r="AT21">
        <v>0.24924449000000001</v>
      </c>
      <c r="AU21">
        <v>0.24833653999999999</v>
      </c>
      <c r="AV21">
        <v>0.24755028000000001</v>
      </c>
      <c r="AW21">
        <v>0.24695992</v>
      </c>
      <c r="AX21">
        <v>0.24644737999999999</v>
      </c>
      <c r="AY21">
        <v>0.24565682999999999</v>
      </c>
      <c r="AZ21">
        <v>0.24464786999999999</v>
      </c>
      <c r="BA21">
        <v>0.24350463999999999</v>
      </c>
      <c r="BB21">
        <v>0.24227687000000001</v>
      </c>
      <c r="BC21">
        <v>0.24089493000000001</v>
      </c>
      <c r="BD21">
        <v>0.23926346000000001</v>
      </c>
      <c r="BE21">
        <v>0.23750429000000001</v>
      </c>
      <c r="BF21">
        <v>0.2359214</v>
      </c>
      <c r="BG21">
        <v>0.23456108000000001</v>
      </c>
      <c r="BH21">
        <v>0.23351388000000001</v>
      </c>
      <c r="BI21">
        <v>0.23264290000000001</v>
      </c>
      <c r="BJ21">
        <v>0.23182148999999999</v>
      </c>
      <c r="BK21">
        <v>0.23111798</v>
      </c>
      <c r="BL21">
        <v>0.23027111</v>
      </c>
      <c r="BM21">
        <v>0.22886387999999999</v>
      </c>
      <c r="BN21">
        <v>0.22758053</v>
      </c>
      <c r="BO21">
        <v>0.22623667</v>
      </c>
      <c r="BP21">
        <v>0.22495238000000001</v>
      </c>
      <c r="BQ21">
        <v>0.22349894000000001</v>
      </c>
      <c r="BR21">
        <v>0.22225997</v>
      </c>
      <c r="BS21">
        <v>0.22089627000000001</v>
      </c>
      <c r="BT21">
        <v>0.21960761000000001</v>
      </c>
      <c r="BU21">
        <v>0.21843441999999999</v>
      </c>
      <c r="BV21">
        <v>0.21736464999999999</v>
      </c>
      <c r="BW21">
        <v>0.21620185</v>
      </c>
      <c r="BX21">
        <v>0.21502425999999999</v>
      </c>
      <c r="BY21">
        <v>0.21380457</v>
      </c>
      <c r="BZ21">
        <v>0.21265065</v>
      </c>
      <c r="CA21">
        <v>0.21134047</v>
      </c>
      <c r="CB21">
        <v>0.21014554999999999</v>
      </c>
      <c r="CC21">
        <v>0.20901971</v>
      </c>
      <c r="CD21">
        <v>0.20786632999999999</v>
      </c>
      <c r="CE21">
        <v>0.20672402000000001</v>
      </c>
      <c r="CF21">
        <v>0.20546723</v>
      </c>
      <c r="CG21">
        <v>0.20417795999999999</v>
      </c>
      <c r="CH21">
        <v>0.20295126999999999</v>
      </c>
      <c r="CI21">
        <v>0.20155893</v>
      </c>
      <c r="CJ21">
        <v>0.20020957</v>
      </c>
      <c r="CK21">
        <v>0.19894980000000001</v>
      </c>
      <c r="CL21">
        <v>0.19770995</v>
      </c>
      <c r="CM21">
        <v>0.19644827000000001</v>
      </c>
      <c r="CN21">
        <v>0.19524266000000001</v>
      </c>
      <c r="CO21">
        <v>0.19390999</v>
      </c>
      <c r="CP21">
        <v>0.19267197</v>
      </c>
      <c r="CQ21">
        <v>0.19142806000000001</v>
      </c>
      <c r="CR21">
        <v>0.19021486000000001</v>
      </c>
      <c r="CS21">
        <v>0.18904605999999999</v>
      </c>
      <c r="CT21">
        <v>0.18796203</v>
      </c>
      <c r="CU21">
        <v>0.18685407000000001</v>
      </c>
      <c r="CV21">
        <v>0.18584719</v>
      </c>
      <c r="CW21">
        <v>0.18464154999999999</v>
      </c>
      <c r="CX21">
        <v>0.18350725000000001</v>
      </c>
    </row>
    <row r="22" spans="1:102">
      <c r="A22" t="s">
        <v>342</v>
      </c>
      <c r="B22">
        <v>0.44969712000000001</v>
      </c>
      <c r="C22">
        <v>0.44831711000000002</v>
      </c>
      <c r="D22">
        <v>0.45203200999999998</v>
      </c>
      <c r="E22">
        <v>0.45836991999999999</v>
      </c>
      <c r="F22">
        <v>0.44580330000000001</v>
      </c>
      <c r="G22">
        <v>0.45421856999999999</v>
      </c>
      <c r="H22">
        <v>0.44676492000000001</v>
      </c>
      <c r="I22">
        <v>0.44603135999999999</v>
      </c>
      <c r="J22">
        <v>0.45059641</v>
      </c>
      <c r="K22">
        <v>0.44299812999999999</v>
      </c>
      <c r="L22">
        <v>0.44491907000000003</v>
      </c>
      <c r="M22">
        <v>0.44255811</v>
      </c>
      <c r="N22">
        <v>0.44377375000000002</v>
      </c>
      <c r="O22">
        <v>0.43798540000000002</v>
      </c>
      <c r="P22">
        <v>0.43218831000000002</v>
      </c>
      <c r="Q22">
        <v>0.43544228000000001</v>
      </c>
      <c r="R22">
        <v>0.42584735000000001</v>
      </c>
      <c r="S22">
        <v>0.42632565</v>
      </c>
      <c r="T22">
        <v>0.42004665000000002</v>
      </c>
      <c r="U22">
        <v>0.41319765000000003</v>
      </c>
      <c r="V22">
        <v>0.41588040999999998</v>
      </c>
      <c r="W22">
        <v>0.42125594</v>
      </c>
      <c r="X22">
        <v>0.40870814999999999</v>
      </c>
      <c r="Y22">
        <v>0.40987618999999997</v>
      </c>
      <c r="Z22">
        <v>0.40720086</v>
      </c>
      <c r="AA22">
        <v>0.40538867000000001</v>
      </c>
      <c r="AB22">
        <v>0.40318092999999999</v>
      </c>
      <c r="AC22">
        <v>0.40088528000000001</v>
      </c>
      <c r="AD22">
        <v>0.39875606000000002</v>
      </c>
      <c r="AE22">
        <v>0.39678985</v>
      </c>
      <c r="AF22">
        <v>0.39488157000000002</v>
      </c>
      <c r="AG22">
        <v>0.39313244000000003</v>
      </c>
      <c r="AH22">
        <v>0.39140317000000002</v>
      </c>
      <c r="AI22">
        <v>0.38985817</v>
      </c>
      <c r="AJ22">
        <v>0.38848767000000001</v>
      </c>
      <c r="AK22">
        <v>0.38722127000000001</v>
      </c>
      <c r="AL22">
        <v>0.38593789000000001</v>
      </c>
      <c r="AM22">
        <v>0.38459291000000001</v>
      </c>
      <c r="AN22">
        <v>0.38341536999999998</v>
      </c>
      <c r="AO22">
        <v>0.38214118000000002</v>
      </c>
      <c r="AP22">
        <v>0.38086819</v>
      </c>
      <c r="AQ22">
        <v>0.37960839000000002</v>
      </c>
      <c r="AR22">
        <v>0.37838959999999999</v>
      </c>
      <c r="AS22">
        <v>0.37750753999999997</v>
      </c>
      <c r="AT22">
        <v>0.37696850999999998</v>
      </c>
      <c r="AU22">
        <v>0.37640747000000002</v>
      </c>
      <c r="AV22">
        <v>0.37582006000000001</v>
      </c>
      <c r="AW22">
        <v>0.37485106000000001</v>
      </c>
      <c r="AX22">
        <v>0.37362309999999999</v>
      </c>
      <c r="AY22">
        <v>0.37247707000000002</v>
      </c>
      <c r="AZ22">
        <v>0.37162621000000001</v>
      </c>
      <c r="BA22">
        <v>0.37092407999999999</v>
      </c>
      <c r="BB22">
        <v>0.37011318999999998</v>
      </c>
      <c r="BC22">
        <v>0.36919162999999999</v>
      </c>
      <c r="BD22">
        <v>0.36804777999999999</v>
      </c>
      <c r="BE22">
        <v>0.36667661000000001</v>
      </c>
      <c r="BF22">
        <v>0.36526492999999999</v>
      </c>
      <c r="BG22">
        <v>0.36383743000000002</v>
      </c>
      <c r="BH22">
        <v>0.36224908</v>
      </c>
      <c r="BI22">
        <v>0.36034878999999997</v>
      </c>
      <c r="BJ22">
        <v>0.35837193000000001</v>
      </c>
      <c r="BK22">
        <v>0.35654039999999998</v>
      </c>
      <c r="BL22">
        <v>0.35557190999999999</v>
      </c>
      <c r="BM22">
        <v>0.35510498000000001</v>
      </c>
      <c r="BN22">
        <v>0.35477466000000002</v>
      </c>
      <c r="BO22">
        <v>0.35409463000000002</v>
      </c>
      <c r="BP22">
        <v>0.35348902999999998</v>
      </c>
      <c r="BQ22">
        <v>0.35236579000000001</v>
      </c>
      <c r="BR22">
        <v>0.35129236000000003</v>
      </c>
      <c r="BS22">
        <v>0.35007495999999999</v>
      </c>
      <c r="BT22">
        <v>0.34880465999999999</v>
      </c>
      <c r="BU22">
        <v>0.34758292000000002</v>
      </c>
      <c r="BV22">
        <v>0.34642451000000002</v>
      </c>
      <c r="BW22">
        <v>0.3450976</v>
      </c>
      <c r="BX22">
        <v>0.34376932999999998</v>
      </c>
      <c r="BY22">
        <v>0.34249559000000002</v>
      </c>
      <c r="BZ22">
        <v>0.34142652000000001</v>
      </c>
      <c r="CA22">
        <v>0.34009018000000002</v>
      </c>
      <c r="CB22">
        <v>0.33883611000000002</v>
      </c>
      <c r="CC22">
        <v>0.33754226999999998</v>
      </c>
      <c r="CD22">
        <v>0.33619702000000001</v>
      </c>
      <c r="CE22">
        <v>0.33495686000000002</v>
      </c>
      <c r="CF22">
        <v>0.33358690000000002</v>
      </c>
      <c r="CG22">
        <v>0.33222652000000003</v>
      </c>
      <c r="CH22">
        <v>0.33104371999999999</v>
      </c>
      <c r="CI22">
        <v>0.32975685999999998</v>
      </c>
      <c r="CJ22">
        <v>0.32846746999999998</v>
      </c>
      <c r="CK22">
        <v>0.32709971999999998</v>
      </c>
      <c r="CL22">
        <v>0.32568958999999997</v>
      </c>
      <c r="CM22">
        <v>0.32425141000000002</v>
      </c>
      <c r="CN22">
        <v>0.32291597999999999</v>
      </c>
      <c r="CO22">
        <v>0.32136303999999999</v>
      </c>
      <c r="CP22">
        <v>0.32005241000000001</v>
      </c>
      <c r="CQ22">
        <v>0.31866822</v>
      </c>
      <c r="CR22">
        <v>0.31717424999999999</v>
      </c>
      <c r="CS22">
        <v>0.31570324</v>
      </c>
      <c r="CT22">
        <v>0.31428880999999997</v>
      </c>
      <c r="CU22">
        <v>0.31273441000000002</v>
      </c>
      <c r="CV22">
        <v>0.31149812999999998</v>
      </c>
      <c r="CW22">
        <v>0.31008880999999999</v>
      </c>
      <c r="CX22">
        <v>0.30886058999999999</v>
      </c>
    </row>
    <row r="23" spans="1:102">
      <c r="A23" t="s">
        <v>343</v>
      </c>
      <c r="B23">
        <v>6.0888699999999997E-3</v>
      </c>
      <c r="C23">
        <v>5.8292300000000003E-3</v>
      </c>
      <c r="D23">
        <v>5.5687499999999999E-3</v>
      </c>
      <c r="E23">
        <v>5.2960699999999999E-3</v>
      </c>
      <c r="F23">
        <v>5.1217199999999997E-3</v>
      </c>
      <c r="G23">
        <v>4.8489700000000002E-3</v>
      </c>
      <c r="H23">
        <v>4.5891300000000003E-3</v>
      </c>
      <c r="I23">
        <v>4.3605900000000001E-3</v>
      </c>
      <c r="J23">
        <v>4.1938499999999998E-3</v>
      </c>
      <c r="K23">
        <v>3.93341E-3</v>
      </c>
      <c r="L23">
        <v>3.7676400000000001E-3</v>
      </c>
      <c r="M23">
        <v>3.56983E-3</v>
      </c>
      <c r="N23">
        <v>3.4213799999999999E-3</v>
      </c>
      <c r="O23">
        <v>3.2855599999999999E-3</v>
      </c>
      <c r="P23">
        <v>3.14956E-3</v>
      </c>
      <c r="Q23">
        <v>3.0224000000000002E-3</v>
      </c>
      <c r="R23">
        <v>2.8944399999999999E-3</v>
      </c>
      <c r="S23">
        <v>2.7789099999999999E-3</v>
      </c>
      <c r="T23">
        <v>2.6829800000000002E-3</v>
      </c>
      <c r="U23">
        <v>2.60808E-3</v>
      </c>
      <c r="V23">
        <v>2.5374199999999999E-3</v>
      </c>
      <c r="W23">
        <v>2.49541E-3</v>
      </c>
      <c r="X23">
        <v>2.5446900000000001E-3</v>
      </c>
      <c r="Y23">
        <v>2.5845E-3</v>
      </c>
      <c r="Z23">
        <v>2.5999399999999998E-3</v>
      </c>
      <c r="AA23">
        <v>2.64051E-3</v>
      </c>
      <c r="AB23">
        <v>2.6201900000000001E-3</v>
      </c>
      <c r="AC23">
        <v>2.5978400000000001E-3</v>
      </c>
      <c r="AD23">
        <v>2.5769199999999999E-3</v>
      </c>
      <c r="AE23">
        <v>2.5545400000000001E-3</v>
      </c>
      <c r="AF23">
        <v>2.5321200000000001E-3</v>
      </c>
      <c r="AG23">
        <v>2.5100600000000002E-3</v>
      </c>
      <c r="AH23">
        <v>2.4876899999999999E-3</v>
      </c>
      <c r="AI23">
        <v>2.4640600000000001E-3</v>
      </c>
      <c r="AJ23">
        <v>2.4397300000000002E-3</v>
      </c>
      <c r="AK23">
        <v>2.4148300000000002E-3</v>
      </c>
      <c r="AL23">
        <v>2.3893E-3</v>
      </c>
      <c r="AM23">
        <v>2.3629300000000001E-3</v>
      </c>
      <c r="AN23">
        <v>2.3352099999999999E-3</v>
      </c>
      <c r="AO23">
        <v>2.3079699999999999E-3</v>
      </c>
      <c r="AP23">
        <v>2.27976E-3</v>
      </c>
      <c r="AQ23">
        <v>2.2520000000000001E-3</v>
      </c>
      <c r="AR23">
        <v>2.2250500000000001E-3</v>
      </c>
      <c r="AS23">
        <v>2.1980099999999998E-3</v>
      </c>
      <c r="AT23">
        <v>2.1720799999999998E-3</v>
      </c>
      <c r="AU23">
        <v>2.14635E-3</v>
      </c>
      <c r="AV23">
        <v>2.1217699999999998E-3</v>
      </c>
      <c r="AW23">
        <v>2.09867E-3</v>
      </c>
      <c r="AX23">
        <v>2.07551E-3</v>
      </c>
      <c r="AY23">
        <v>2.0547899999999999E-3</v>
      </c>
      <c r="AZ23">
        <v>2.03441E-3</v>
      </c>
      <c r="BA23">
        <v>2.01643E-3</v>
      </c>
      <c r="BB23">
        <v>1.9977100000000002E-3</v>
      </c>
      <c r="BC23">
        <v>1.9780599999999998E-3</v>
      </c>
      <c r="BD23">
        <v>1.9592899999999998E-3</v>
      </c>
      <c r="BE23">
        <v>1.93958E-3</v>
      </c>
      <c r="BF23">
        <v>1.9204599999999999E-3</v>
      </c>
      <c r="BG23">
        <v>1.89974E-3</v>
      </c>
      <c r="BH23">
        <v>1.8798899999999999E-3</v>
      </c>
      <c r="BI23">
        <v>1.85994E-3</v>
      </c>
      <c r="BJ23">
        <v>1.83782E-3</v>
      </c>
      <c r="BK23">
        <v>1.8158899999999999E-3</v>
      </c>
      <c r="BL23">
        <v>1.7936300000000001E-3</v>
      </c>
      <c r="BM23">
        <v>1.7713500000000001E-3</v>
      </c>
      <c r="BN23">
        <v>1.74873E-3</v>
      </c>
      <c r="BO23">
        <v>1.72409E-3</v>
      </c>
      <c r="BP23">
        <v>1.7009E-3</v>
      </c>
      <c r="BQ23">
        <v>1.6771500000000001E-3</v>
      </c>
      <c r="BR23">
        <v>1.65456E-3</v>
      </c>
      <c r="BS23">
        <v>1.6311800000000001E-3</v>
      </c>
      <c r="BT23">
        <v>1.6082E-3</v>
      </c>
      <c r="BU23">
        <v>1.5842300000000001E-3</v>
      </c>
      <c r="BV23">
        <v>1.5614800000000001E-3</v>
      </c>
      <c r="BW23">
        <v>1.5376299999999999E-3</v>
      </c>
      <c r="BX23">
        <v>1.5158999999999999E-3</v>
      </c>
      <c r="BY23">
        <v>1.4940000000000001E-3</v>
      </c>
      <c r="BZ23">
        <v>1.4725700000000001E-3</v>
      </c>
      <c r="CA23">
        <v>1.4517200000000001E-3</v>
      </c>
      <c r="CB23">
        <v>1.42968E-3</v>
      </c>
      <c r="CC23">
        <v>1.4088600000000001E-3</v>
      </c>
      <c r="CD23">
        <v>1.3890599999999999E-3</v>
      </c>
      <c r="CE23">
        <v>1.3694200000000001E-3</v>
      </c>
      <c r="CF23">
        <v>1.34932E-3</v>
      </c>
      <c r="CG23">
        <v>1.3311900000000001E-3</v>
      </c>
      <c r="CH23">
        <v>1.3113599999999999E-3</v>
      </c>
      <c r="CI23">
        <v>1.29268E-3</v>
      </c>
      <c r="CJ23">
        <v>1.27417E-3</v>
      </c>
      <c r="CK23">
        <v>1.2565899999999999E-3</v>
      </c>
      <c r="CL23">
        <v>1.2377899999999999E-3</v>
      </c>
      <c r="CM23">
        <v>1.21955E-3</v>
      </c>
      <c r="CN23">
        <v>1.2010600000000001E-3</v>
      </c>
      <c r="CO23">
        <v>1.1823000000000001E-3</v>
      </c>
      <c r="CP23">
        <v>1.16507E-3</v>
      </c>
      <c r="CQ23">
        <v>1.1469799999999999E-3</v>
      </c>
      <c r="CR23">
        <v>1.1279700000000001E-3</v>
      </c>
      <c r="CS23">
        <v>1.1100800000000001E-3</v>
      </c>
      <c r="CT23">
        <v>1.09249E-3</v>
      </c>
      <c r="CU23">
        <v>1.0745900000000001E-3</v>
      </c>
      <c r="CV23">
        <v>1.0568000000000001E-3</v>
      </c>
      <c r="CW23">
        <v>1.0391E-3</v>
      </c>
      <c r="CX23">
        <v>1.02133E-3</v>
      </c>
    </row>
    <row r="24" spans="1:102">
      <c r="A24" t="s">
        <v>344</v>
      </c>
      <c r="B24">
        <v>1.85002E-3</v>
      </c>
      <c r="C24">
        <v>1.81814E-3</v>
      </c>
      <c r="D24">
        <v>1.7850100000000001E-3</v>
      </c>
      <c r="E24">
        <v>1.75103E-3</v>
      </c>
      <c r="F24">
        <v>1.7501000000000001E-3</v>
      </c>
      <c r="G24">
        <v>1.69144E-3</v>
      </c>
      <c r="H24">
        <v>1.6285500000000001E-3</v>
      </c>
      <c r="I24">
        <v>1.58925E-3</v>
      </c>
      <c r="J24">
        <v>1.58359E-3</v>
      </c>
      <c r="K24">
        <v>1.48427E-3</v>
      </c>
      <c r="L24">
        <v>1.44608E-3</v>
      </c>
      <c r="M24">
        <v>1.37297E-3</v>
      </c>
      <c r="N24">
        <v>1.3293999999999999E-3</v>
      </c>
      <c r="O24">
        <v>1.2840099999999999E-3</v>
      </c>
      <c r="P24">
        <v>1.24026E-3</v>
      </c>
      <c r="Q24">
        <v>1.2065400000000001E-3</v>
      </c>
      <c r="R24">
        <v>1.1643999999999999E-3</v>
      </c>
      <c r="S24">
        <v>1.12901E-3</v>
      </c>
      <c r="T24">
        <v>1.10348E-3</v>
      </c>
      <c r="U24">
        <v>1.08197E-3</v>
      </c>
      <c r="V24">
        <v>1.0618100000000001E-3</v>
      </c>
      <c r="W24">
        <v>1.0443200000000001E-3</v>
      </c>
      <c r="X24">
        <v>1.04163E-3</v>
      </c>
      <c r="Y24">
        <v>1.03597E-3</v>
      </c>
      <c r="Z24">
        <v>1.0393799999999999E-3</v>
      </c>
      <c r="AA24">
        <v>1.0600799999999999E-3</v>
      </c>
      <c r="AB24">
        <v>1.0655700000000001E-3</v>
      </c>
      <c r="AC24">
        <v>1.0702699999999999E-3</v>
      </c>
      <c r="AD24">
        <v>1.0719600000000001E-3</v>
      </c>
      <c r="AE24">
        <v>1.0697E-3</v>
      </c>
      <c r="AF24">
        <v>1.06459E-3</v>
      </c>
      <c r="AG24">
        <v>1.0574E-3</v>
      </c>
      <c r="AH24">
        <v>1.0499000000000001E-3</v>
      </c>
      <c r="AI24">
        <v>1.0419400000000001E-3</v>
      </c>
      <c r="AJ24">
        <v>1.03418E-3</v>
      </c>
      <c r="AK24">
        <v>1.0262800000000001E-3</v>
      </c>
      <c r="AL24">
        <v>1.018E-3</v>
      </c>
      <c r="AM24">
        <v>1.00946E-3</v>
      </c>
      <c r="AN24">
        <v>1.0001400000000001E-3</v>
      </c>
      <c r="AO24">
        <v>9.9083000000000005E-4</v>
      </c>
      <c r="AP24">
        <v>9.8083000000000003E-4</v>
      </c>
      <c r="AQ24">
        <v>9.7037999999999996E-4</v>
      </c>
      <c r="AR24">
        <v>9.5984E-4</v>
      </c>
      <c r="AS24">
        <v>9.4914000000000001E-4</v>
      </c>
      <c r="AT24">
        <v>9.3869000000000005E-4</v>
      </c>
      <c r="AU24">
        <v>9.2791E-4</v>
      </c>
      <c r="AV24">
        <v>9.1759999999999997E-4</v>
      </c>
      <c r="AW24">
        <v>9.0748999999999995E-4</v>
      </c>
      <c r="AX24">
        <v>8.9711999999999995E-4</v>
      </c>
      <c r="AY24">
        <v>8.8758999999999995E-4</v>
      </c>
      <c r="AZ24">
        <v>8.7799000000000004E-4</v>
      </c>
      <c r="BA24">
        <v>8.6910000000000004E-4</v>
      </c>
      <c r="BB24">
        <v>8.6027E-4</v>
      </c>
      <c r="BC24">
        <v>8.518E-4</v>
      </c>
      <c r="BD24">
        <v>8.4404E-4</v>
      </c>
      <c r="BE24">
        <v>8.3637000000000002E-4</v>
      </c>
      <c r="BF24">
        <v>8.2919000000000005E-4</v>
      </c>
      <c r="BG24">
        <v>8.2123999999999999E-4</v>
      </c>
      <c r="BH24">
        <v>8.1362000000000003E-4</v>
      </c>
      <c r="BI24">
        <v>8.0628999999999998E-4</v>
      </c>
      <c r="BJ24">
        <v>7.9832000000000004E-4</v>
      </c>
      <c r="BK24">
        <v>7.9062000000000002E-4</v>
      </c>
      <c r="BL24">
        <v>7.8284999999999997E-4</v>
      </c>
      <c r="BM24">
        <v>7.7481999999999996E-4</v>
      </c>
      <c r="BN24">
        <v>7.6654999999999996E-4</v>
      </c>
      <c r="BO24">
        <v>7.5754999999999996E-4</v>
      </c>
      <c r="BP24">
        <v>7.4909E-4</v>
      </c>
      <c r="BQ24">
        <v>7.4071E-4</v>
      </c>
      <c r="BR24">
        <v>7.3231999999999995E-4</v>
      </c>
      <c r="BS24">
        <v>7.2353000000000001E-4</v>
      </c>
      <c r="BT24">
        <v>7.1487000000000005E-4</v>
      </c>
      <c r="BU24">
        <v>7.0565000000000005E-4</v>
      </c>
      <c r="BV24">
        <v>6.9696999999999999E-4</v>
      </c>
      <c r="BW24">
        <v>6.8754999999999999E-4</v>
      </c>
      <c r="BX24">
        <v>6.7847999999999997E-4</v>
      </c>
      <c r="BY24">
        <v>6.6916000000000002E-4</v>
      </c>
      <c r="BZ24">
        <v>6.5990999999999999E-4</v>
      </c>
      <c r="CA24">
        <v>6.5127000000000002E-4</v>
      </c>
      <c r="CB24">
        <v>6.4238000000000001E-4</v>
      </c>
      <c r="CC24">
        <v>6.3385000000000004E-4</v>
      </c>
      <c r="CD24">
        <v>6.2555E-4</v>
      </c>
      <c r="CE24">
        <v>6.1706E-4</v>
      </c>
      <c r="CF24">
        <v>6.0838000000000005E-4</v>
      </c>
      <c r="CG24">
        <v>6.0055999999999998E-4</v>
      </c>
      <c r="CH24">
        <v>5.9232000000000002E-4</v>
      </c>
      <c r="CI24">
        <v>5.8454999999999998E-4</v>
      </c>
      <c r="CJ24">
        <v>5.7711999999999998E-4</v>
      </c>
      <c r="CK24">
        <v>5.7008999999999998E-4</v>
      </c>
      <c r="CL24">
        <v>5.6267000000000003E-4</v>
      </c>
      <c r="CM24">
        <v>5.553E-4</v>
      </c>
      <c r="CN24">
        <v>5.4814000000000002E-4</v>
      </c>
      <c r="CO24">
        <v>5.4087999999999998E-4</v>
      </c>
      <c r="CP24">
        <v>5.3406000000000005E-4</v>
      </c>
      <c r="CQ24">
        <v>5.2691000000000001E-4</v>
      </c>
      <c r="CR24">
        <v>5.1928E-4</v>
      </c>
      <c r="CS24">
        <v>5.1201000000000003E-4</v>
      </c>
      <c r="CT24">
        <v>5.0504E-4</v>
      </c>
      <c r="CU24">
        <v>4.9806999999999998E-4</v>
      </c>
      <c r="CV24">
        <v>4.9103999999999999E-4</v>
      </c>
      <c r="CW24">
        <v>4.8418000000000002E-4</v>
      </c>
      <c r="CX24">
        <v>4.7704000000000003E-4</v>
      </c>
    </row>
    <row r="25" spans="1:102">
      <c r="A25" t="s">
        <v>345</v>
      </c>
      <c r="B25">
        <v>1.155E-3</v>
      </c>
      <c r="C25">
        <v>1.1416499999999999E-3</v>
      </c>
      <c r="D25">
        <v>1.1249299999999999E-3</v>
      </c>
      <c r="E25">
        <v>1.103E-3</v>
      </c>
      <c r="F25">
        <v>1.10198E-3</v>
      </c>
      <c r="G25">
        <v>1.06781E-3</v>
      </c>
      <c r="H25">
        <v>1.02877E-3</v>
      </c>
      <c r="I25">
        <v>1.0083399999999999E-3</v>
      </c>
      <c r="J25">
        <v>1.00983E-3</v>
      </c>
      <c r="K25">
        <v>9.6584000000000004E-4</v>
      </c>
      <c r="L25">
        <v>9.5195000000000002E-4</v>
      </c>
      <c r="M25">
        <v>9.1483000000000005E-4</v>
      </c>
      <c r="N25">
        <v>8.9661000000000005E-4</v>
      </c>
      <c r="O25">
        <v>8.7538999999999998E-4</v>
      </c>
      <c r="P25">
        <v>8.5139999999999999E-4</v>
      </c>
      <c r="Q25">
        <v>8.3264999999999999E-4</v>
      </c>
      <c r="R25">
        <v>8.0842999999999996E-4</v>
      </c>
      <c r="S25">
        <v>7.8898E-4</v>
      </c>
      <c r="T25">
        <v>7.6940000000000005E-4</v>
      </c>
      <c r="U25">
        <v>7.5310999999999998E-4</v>
      </c>
      <c r="V25">
        <v>7.3477999999999998E-4</v>
      </c>
      <c r="W25">
        <v>7.3408000000000002E-4</v>
      </c>
      <c r="X25">
        <v>7.3092999999999997E-4</v>
      </c>
      <c r="Y25">
        <v>7.1122999999999998E-4</v>
      </c>
      <c r="Z25">
        <v>7.0361000000000002E-4</v>
      </c>
      <c r="AA25">
        <v>7.0522E-4</v>
      </c>
      <c r="AB25">
        <v>6.9791999999999999E-4</v>
      </c>
      <c r="AC25">
        <v>6.9160999999999995E-4</v>
      </c>
      <c r="AD25">
        <v>6.8771000000000001E-4</v>
      </c>
      <c r="AE25">
        <v>6.8532E-4</v>
      </c>
      <c r="AF25">
        <v>6.845E-4</v>
      </c>
      <c r="AG25">
        <v>6.8493000000000004E-4</v>
      </c>
      <c r="AH25">
        <v>6.8605000000000001E-4</v>
      </c>
      <c r="AI25">
        <v>6.8577000000000004E-4</v>
      </c>
      <c r="AJ25">
        <v>6.8406000000000001E-4</v>
      </c>
      <c r="AK25">
        <v>6.8073000000000005E-4</v>
      </c>
      <c r="AL25">
        <v>6.7571000000000005E-4</v>
      </c>
      <c r="AM25">
        <v>6.7022999999999996E-4</v>
      </c>
      <c r="AN25">
        <v>6.6458999999999995E-4</v>
      </c>
      <c r="AO25">
        <v>6.5910999999999997E-4</v>
      </c>
      <c r="AP25">
        <v>6.5340999999999999E-4</v>
      </c>
      <c r="AQ25">
        <v>6.4756000000000004E-4</v>
      </c>
      <c r="AR25">
        <v>6.4159999999999998E-4</v>
      </c>
      <c r="AS25">
        <v>6.3544000000000003E-4</v>
      </c>
      <c r="AT25">
        <v>6.2925999999999998E-4</v>
      </c>
      <c r="AU25">
        <v>6.2273000000000005E-4</v>
      </c>
      <c r="AV25">
        <v>6.1618000000000003E-4</v>
      </c>
      <c r="AW25">
        <v>6.0961999999999995E-4</v>
      </c>
      <c r="AX25">
        <v>6.0282000000000001E-4</v>
      </c>
      <c r="AY25">
        <v>5.9626999999999998E-4</v>
      </c>
      <c r="AZ25">
        <v>5.8960000000000002E-4</v>
      </c>
      <c r="BA25">
        <v>5.8325E-4</v>
      </c>
      <c r="BB25">
        <v>5.7671999999999997E-4</v>
      </c>
      <c r="BC25">
        <v>5.7023000000000002E-4</v>
      </c>
      <c r="BD25">
        <v>5.6411000000000005E-4</v>
      </c>
      <c r="BE25">
        <v>5.5796000000000003E-4</v>
      </c>
      <c r="BF25">
        <v>5.5210000000000003E-4</v>
      </c>
      <c r="BG25">
        <v>5.4609000000000005E-4</v>
      </c>
      <c r="BH25">
        <v>5.4062000000000001E-4</v>
      </c>
      <c r="BI25">
        <v>5.3556999999999997E-4</v>
      </c>
      <c r="BJ25">
        <v>5.3045000000000002E-4</v>
      </c>
      <c r="BK25">
        <v>5.2565000000000001E-4</v>
      </c>
      <c r="BL25">
        <v>5.2088000000000004E-4</v>
      </c>
      <c r="BM25">
        <v>5.1606999999999998E-4</v>
      </c>
      <c r="BN25">
        <v>5.1130999999999995E-4</v>
      </c>
      <c r="BO25">
        <v>5.0620000000000005E-4</v>
      </c>
      <c r="BP25">
        <v>5.0139E-4</v>
      </c>
      <c r="BQ25">
        <v>4.9667999999999999E-4</v>
      </c>
      <c r="BR25">
        <v>4.9198999999999998E-4</v>
      </c>
      <c r="BS25">
        <v>4.8704999999999999E-4</v>
      </c>
      <c r="BT25">
        <v>4.8218000000000002E-4</v>
      </c>
      <c r="BU25">
        <v>4.7705000000000002E-4</v>
      </c>
      <c r="BV25">
        <v>4.7212000000000003E-4</v>
      </c>
      <c r="BW25">
        <v>4.6662E-4</v>
      </c>
      <c r="BX25">
        <v>4.6135000000000002E-4</v>
      </c>
      <c r="BY25">
        <v>4.5595E-4</v>
      </c>
      <c r="BZ25">
        <v>4.5036000000000002E-4</v>
      </c>
      <c r="CA25">
        <v>4.4498999999999998E-4</v>
      </c>
      <c r="CB25">
        <v>4.3939000000000001E-4</v>
      </c>
      <c r="CC25">
        <v>4.3388999999999998E-4</v>
      </c>
      <c r="CD25">
        <v>4.2839000000000001E-4</v>
      </c>
      <c r="CE25">
        <v>4.2276E-4</v>
      </c>
      <c r="CF25">
        <v>4.1711E-4</v>
      </c>
      <c r="CG25">
        <v>4.1192000000000003E-4</v>
      </c>
      <c r="CH25">
        <v>4.0650000000000001E-4</v>
      </c>
      <c r="CI25">
        <v>4.0137000000000001E-4</v>
      </c>
      <c r="CJ25">
        <v>3.9641999999999998E-4</v>
      </c>
      <c r="CK25">
        <v>3.9157999999999999E-4</v>
      </c>
      <c r="CL25">
        <v>3.8665999999999999E-4</v>
      </c>
      <c r="CM25">
        <v>3.8182999999999999E-4</v>
      </c>
      <c r="CN25">
        <v>3.7718000000000002E-4</v>
      </c>
      <c r="CO25">
        <v>3.7268000000000002E-4</v>
      </c>
      <c r="CP25">
        <v>3.6843999999999999E-4</v>
      </c>
      <c r="CQ25">
        <v>3.6403E-4</v>
      </c>
      <c r="CR25">
        <v>3.5942E-4</v>
      </c>
      <c r="CS25">
        <v>3.5505999999999998E-4</v>
      </c>
      <c r="CT25">
        <v>3.5078000000000003E-4</v>
      </c>
      <c r="CU25">
        <v>3.4647999999999998E-4</v>
      </c>
      <c r="CV25">
        <v>3.4220000000000002E-4</v>
      </c>
      <c r="CW25">
        <v>3.3796E-4</v>
      </c>
      <c r="CX25">
        <v>3.3358999999999998E-4</v>
      </c>
    </row>
    <row r="26" spans="1:102">
      <c r="A26" t="s">
        <v>346</v>
      </c>
      <c r="B26">
        <v>1.67822E-3</v>
      </c>
      <c r="C26">
        <v>1.6533800000000001E-3</v>
      </c>
      <c r="D26">
        <v>1.6229300000000001E-3</v>
      </c>
      <c r="E26">
        <v>1.5944500000000001E-3</v>
      </c>
      <c r="F26">
        <v>1.57964E-3</v>
      </c>
      <c r="G26">
        <v>1.53703E-3</v>
      </c>
      <c r="H26">
        <v>1.49602E-3</v>
      </c>
      <c r="I26">
        <v>1.47529E-3</v>
      </c>
      <c r="J26">
        <v>1.4695800000000001E-3</v>
      </c>
      <c r="K26">
        <v>1.4223300000000001E-3</v>
      </c>
      <c r="L26">
        <v>1.40711E-3</v>
      </c>
      <c r="M26">
        <v>1.3716900000000001E-3</v>
      </c>
      <c r="N26">
        <v>1.35297E-3</v>
      </c>
      <c r="O26">
        <v>1.3301299999999999E-3</v>
      </c>
      <c r="P26">
        <v>1.3062900000000001E-3</v>
      </c>
      <c r="Q26">
        <v>1.28977E-3</v>
      </c>
      <c r="R26">
        <v>1.2728100000000001E-3</v>
      </c>
      <c r="S26">
        <v>1.2583E-3</v>
      </c>
      <c r="T26">
        <v>1.2347899999999999E-3</v>
      </c>
      <c r="U26">
        <v>1.2120500000000001E-3</v>
      </c>
      <c r="V26">
        <v>1.18465E-3</v>
      </c>
      <c r="W26">
        <v>1.2790499999999999E-3</v>
      </c>
      <c r="X26">
        <v>1.2422500000000001E-3</v>
      </c>
      <c r="Y26">
        <v>1.16182E-3</v>
      </c>
      <c r="Z26">
        <v>1.1444199999999999E-3</v>
      </c>
      <c r="AA26">
        <v>1.1421300000000001E-3</v>
      </c>
      <c r="AB26">
        <v>1.1289900000000001E-3</v>
      </c>
      <c r="AC26">
        <v>1.11604E-3</v>
      </c>
      <c r="AD26">
        <v>1.1047299999999999E-3</v>
      </c>
      <c r="AE26">
        <v>1.09399E-3</v>
      </c>
      <c r="AF26">
        <v>1.0834600000000001E-3</v>
      </c>
      <c r="AG26">
        <v>1.0727499999999999E-3</v>
      </c>
      <c r="AH26">
        <v>1.0634799999999999E-3</v>
      </c>
      <c r="AI26">
        <v>1.0564400000000001E-3</v>
      </c>
      <c r="AJ26">
        <v>1.0520900000000001E-3</v>
      </c>
      <c r="AK26">
        <v>1.05003E-3</v>
      </c>
      <c r="AL26">
        <v>1.05075E-3</v>
      </c>
      <c r="AM26">
        <v>1.0537400000000001E-3</v>
      </c>
      <c r="AN26">
        <v>1.0552300000000001E-3</v>
      </c>
      <c r="AO26">
        <v>1.05419E-3</v>
      </c>
      <c r="AP26">
        <v>1.05007E-3</v>
      </c>
      <c r="AQ26">
        <v>1.04269E-3</v>
      </c>
      <c r="AR26">
        <v>1.0344200000000001E-3</v>
      </c>
      <c r="AS26">
        <v>1.0262299999999999E-3</v>
      </c>
      <c r="AT26">
        <v>1.01823E-3</v>
      </c>
      <c r="AU26">
        <v>1.0099900000000001E-3</v>
      </c>
      <c r="AV26">
        <v>1.00186E-3</v>
      </c>
      <c r="AW26">
        <v>9.9372000000000002E-4</v>
      </c>
      <c r="AX26">
        <v>9.8500999999999992E-4</v>
      </c>
      <c r="AY26">
        <v>9.7645999999999996E-4</v>
      </c>
      <c r="AZ26">
        <v>9.6759000000000005E-4</v>
      </c>
      <c r="BA26">
        <v>9.5863999999999997E-4</v>
      </c>
      <c r="BB26">
        <v>9.4925000000000001E-4</v>
      </c>
      <c r="BC26">
        <v>9.3979000000000003E-4</v>
      </c>
      <c r="BD26">
        <v>9.3042000000000005E-4</v>
      </c>
      <c r="BE26">
        <v>9.2086999999999996E-4</v>
      </c>
      <c r="BF26">
        <v>9.1169999999999999E-4</v>
      </c>
      <c r="BG26">
        <v>9.0207999999999998E-4</v>
      </c>
      <c r="BH26">
        <v>8.9296000000000004E-4</v>
      </c>
      <c r="BI26">
        <v>8.8446E-4</v>
      </c>
      <c r="BJ26">
        <v>8.7584000000000002E-4</v>
      </c>
      <c r="BK26">
        <v>8.6766000000000002E-4</v>
      </c>
      <c r="BL26">
        <v>8.5981000000000002E-4</v>
      </c>
      <c r="BM26">
        <v>8.5229000000000001E-4</v>
      </c>
      <c r="BN26">
        <v>8.4522000000000004E-4</v>
      </c>
      <c r="BO26">
        <v>8.3816999999999995E-4</v>
      </c>
      <c r="BP26">
        <v>8.3171000000000004E-4</v>
      </c>
      <c r="BQ26">
        <v>8.2562E-4</v>
      </c>
      <c r="BR26">
        <v>8.1974000000000001E-4</v>
      </c>
      <c r="BS26">
        <v>8.1371999999999998E-4</v>
      </c>
      <c r="BT26">
        <v>8.0787999999999997E-4</v>
      </c>
      <c r="BU26">
        <v>8.0179999999999997E-4</v>
      </c>
      <c r="BV26">
        <v>7.9600000000000005E-4</v>
      </c>
      <c r="BW26">
        <v>7.8950000000000005E-4</v>
      </c>
      <c r="BX26">
        <v>7.8317999999999997E-4</v>
      </c>
      <c r="BY26">
        <v>7.7669999999999996E-4</v>
      </c>
      <c r="BZ26">
        <v>7.6977999999999997E-4</v>
      </c>
      <c r="CA26">
        <v>7.6300000000000001E-4</v>
      </c>
      <c r="CB26">
        <v>7.5582000000000004E-4</v>
      </c>
      <c r="CC26">
        <v>7.4879000000000005E-4</v>
      </c>
      <c r="CD26">
        <v>7.4160000000000003E-4</v>
      </c>
      <c r="CE26">
        <v>7.3393999999999998E-4</v>
      </c>
      <c r="CF26">
        <v>7.2621000000000003E-4</v>
      </c>
      <c r="CG26">
        <v>7.1896000000000004E-4</v>
      </c>
      <c r="CH26">
        <v>7.1122999999999998E-4</v>
      </c>
      <c r="CI26">
        <v>7.0372000000000002E-4</v>
      </c>
      <c r="CJ26">
        <v>6.9638999999999996E-4</v>
      </c>
      <c r="CK26">
        <v>6.8915999999999997E-4</v>
      </c>
      <c r="CL26">
        <v>6.8194999999999996E-4</v>
      </c>
      <c r="CM26">
        <v>6.7480999999999997E-4</v>
      </c>
      <c r="CN26">
        <v>6.6794000000000001E-4</v>
      </c>
      <c r="CO26">
        <v>6.6129000000000003E-4</v>
      </c>
      <c r="CP26">
        <v>6.5468999999999998E-4</v>
      </c>
      <c r="CQ26">
        <v>6.4791999999999996E-4</v>
      </c>
      <c r="CR26">
        <v>6.4108999999999998E-4</v>
      </c>
      <c r="CS26">
        <v>6.3464000000000001E-4</v>
      </c>
      <c r="CT26">
        <v>6.2854999999999996E-4</v>
      </c>
      <c r="CU26">
        <v>6.2255999999999998E-4</v>
      </c>
      <c r="CV26">
        <v>6.1653000000000001E-4</v>
      </c>
      <c r="CW26">
        <v>6.1065000000000002E-4</v>
      </c>
      <c r="CX26">
        <v>6.0464999999999998E-4</v>
      </c>
    </row>
    <row r="27" spans="1:102">
      <c r="A27" t="s">
        <v>347</v>
      </c>
      <c r="B27">
        <v>2.4098800000000001E-3</v>
      </c>
      <c r="C27">
        <v>2.3789100000000001E-3</v>
      </c>
      <c r="D27">
        <v>2.3346199999999999E-3</v>
      </c>
      <c r="E27">
        <v>2.2979599999999999E-3</v>
      </c>
      <c r="F27">
        <v>2.2774900000000001E-3</v>
      </c>
      <c r="G27">
        <v>2.2197300000000001E-3</v>
      </c>
      <c r="H27">
        <v>2.1657E-3</v>
      </c>
      <c r="I27">
        <v>2.1289299999999998E-3</v>
      </c>
      <c r="J27">
        <v>2.0950500000000002E-3</v>
      </c>
      <c r="K27">
        <v>2.0196699999999999E-3</v>
      </c>
      <c r="L27">
        <v>1.97554E-3</v>
      </c>
      <c r="M27">
        <v>1.92049E-3</v>
      </c>
      <c r="N27">
        <v>1.8954499999999999E-3</v>
      </c>
      <c r="O27">
        <v>1.86447E-3</v>
      </c>
      <c r="P27">
        <v>1.83113E-3</v>
      </c>
      <c r="Q27">
        <v>1.81156E-3</v>
      </c>
      <c r="R27">
        <v>1.80141E-3</v>
      </c>
      <c r="S27">
        <v>1.7875199999999999E-3</v>
      </c>
      <c r="T27">
        <v>1.76085E-3</v>
      </c>
      <c r="U27">
        <v>1.73778E-3</v>
      </c>
      <c r="V27">
        <v>1.7020099999999999E-3</v>
      </c>
      <c r="W27">
        <v>1.84066E-3</v>
      </c>
      <c r="X27">
        <v>1.80748E-3</v>
      </c>
      <c r="Y27">
        <v>1.68687E-3</v>
      </c>
      <c r="Z27">
        <v>1.66865E-3</v>
      </c>
      <c r="AA27">
        <v>1.6715199999999999E-3</v>
      </c>
      <c r="AB27">
        <v>1.65985E-3</v>
      </c>
      <c r="AC27">
        <v>1.64595E-3</v>
      </c>
      <c r="AD27">
        <v>1.63182E-3</v>
      </c>
      <c r="AE27">
        <v>1.6166399999999999E-3</v>
      </c>
      <c r="AF27">
        <v>1.60122E-3</v>
      </c>
      <c r="AG27">
        <v>1.5856900000000001E-3</v>
      </c>
      <c r="AH27">
        <v>1.5698999999999999E-3</v>
      </c>
      <c r="AI27">
        <v>1.55427E-3</v>
      </c>
      <c r="AJ27">
        <v>1.54042E-3</v>
      </c>
      <c r="AK27">
        <v>1.52713E-3</v>
      </c>
      <c r="AL27">
        <v>1.5140399999999999E-3</v>
      </c>
      <c r="AM27">
        <v>1.5024000000000001E-3</v>
      </c>
      <c r="AN27">
        <v>1.4942499999999999E-3</v>
      </c>
      <c r="AO27">
        <v>1.49008E-3</v>
      </c>
      <c r="AP27">
        <v>1.4895399999999999E-3</v>
      </c>
      <c r="AQ27">
        <v>1.4926099999999999E-3</v>
      </c>
      <c r="AR27">
        <v>1.49788E-3</v>
      </c>
      <c r="AS27">
        <v>1.50051E-3</v>
      </c>
      <c r="AT27">
        <v>1.49916E-3</v>
      </c>
      <c r="AU27">
        <v>1.4934499999999999E-3</v>
      </c>
      <c r="AV27">
        <v>1.48423E-3</v>
      </c>
      <c r="AW27">
        <v>1.4741000000000001E-3</v>
      </c>
      <c r="AX27">
        <v>1.46353E-3</v>
      </c>
      <c r="AY27">
        <v>1.45353E-3</v>
      </c>
      <c r="AZ27">
        <v>1.44333E-3</v>
      </c>
      <c r="BA27">
        <v>1.43301E-3</v>
      </c>
      <c r="BB27">
        <v>1.4220000000000001E-3</v>
      </c>
      <c r="BC27">
        <v>1.4105700000000001E-3</v>
      </c>
      <c r="BD27">
        <v>1.39905E-3</v>
      </c>
      <c r="BE27">
        <v>1.3869799999999999E-3</v>
      </c>
      <c r="BF27">
        <v>1.37484E-3</v>
      </c>
      <c r="BG27">
        <v>1.36162E-3</v>
      </c>
      <c r="BH27">
        <v>1.34866E-3</v>
      </c>
      <c r="BI27">
        <v>1.33607E-3</v>
      </c>
      <c r="BJ27">
        <v>1.3230099999999999E-3</v>
      </c>
      <c r="BK27">
        <v>1.31036E-3</v>
      </c>
      <c r="BL27">
        <v>1.2977100000000001E-3</v>
      </c>
      <c r="BM27">
        <v>1.2851799999999999E-3</v>
      </c>
      <c r="BN27">
        <v>1.27322E-3</v>
      </c>
      <c r="BO27">
        <v>1.2610399999999999E-3</v>
      </c>
      <c r="BP27">
        <v>1.2495799999999999E-3</v>
      </c>
      <c r="BQ27">
        <v>1.23898E-3</v>
      </c>
      <c r="BR27">
        <v>1.2291100000000001E-3</v>
      </c>
      <c r="BS27">
        <v>1.2194700000000001E-3</v>
      </c>
      <c r="BT27">
        <v>1.2106700000000001E-3</v>
      </c>
      <c r="BU27">
        <v>1.2020500000000001E-3</v>
      </c>
      <c r="BV27">
        <v>1.1940099999999999E-3</v>
      </c>
      <c r="BW27">
        <v>1.18523E-3</v>
      </c>
      <c r="BX27">
        <v>1.17687E-3</v>
      </c>
      <c r="BY27">
        <v>1.1684600000000001E-3</v>
      </c>
      <c r="BZ27">
        <v>1.1596E-3</v>
      </c>
      <c r="CA27">
        <v>1.1511500000000001E-3</v>
      </c>
      <c r="CB27">
        <v>1.1420899999999999E-3</v>
      </c>
      <c r="CC27">
        <v>1.13309E-3</v>
      </c>
      <c r="CD27">
        <v>1.1237300000000001E-3</v>
      </c>
      <c r="CE27">
        <v>1.1135800000000001E-3</v>
      </c>
      <c r="CF27">
        <v>1.1031999999999999E-3</v>
      </c>
      <c r="CG27">
        <v>1.0931999999999999E-3</v>
      </c>
      <c r="CH27">
        <v>1.08248E-3</v>
      </c>
      <c r="CI27">
        <v>1.07193E-3</v>
      </c>
      <c r="CJ27">
        <v>1.06135E-3</v>
      </c>
      <c r="CK27">
        <v>1.05079E-3</v>
      </c>
      <c r="CL27">
        <v>1.04024E-3</v>
      </c>
      <c r="CM27">
        <v>1.0293800000000001E-3</v>
      </c>
      <c r="CN27">
        <v>1.0185699999999999E-3</v>
      </c>
      <c r="CO27">
        <v>1.00789E-3</v>
      </c>
      <c r="CP27">
        <v>9.9736000000000009E-4</v>
      </c>
      <c r="CQ27">
        <v>9.8667999999999998E-4</v>
      </c>
      <c r="CR27">
        <v>9.7588000000000004E-4</v>
      </c>
      <c r="CS27">
        <v>9.6555999999999996E-4</v>
      </c>
      <c r="CT27">
        <v>9.5562000000000002E-4</v>
      </c>
      <c r="CU27">
        <v>9.4558000000000001E-4</v>
      </c>
      <c r="CV27">
        <v>9.3557000000000004E-4</v>
      </c>
      <c r="CW27">
        <v>9.2606999999999997E-4</v>
      </c>
      <c r="CX27">
        <v>9.1655000000000003E-4</v>
      </c>
    </row>
    <row r="28" spans="1:102">
      <c r="A28" t="s">
        <v>348</v>
      </c>
      <c r="B28">
        <v>2.6393800000000002E-3</v>
      </c>
      <c r="C28">
        <v>2.6323800000000001E-3</v>
      </c>
      <c r="D28">
        <v>2.61495E-3</v>
      </c>
      <c r="E28">
        <v>2.6002299999999998E-3</v>
      </c>
      <c r="F28">
        <v>2.58895E-3</v>
      </c>
      <c r="G28">
        <v>2.5327499999999998E-3</v>
      </c>
      <c r="H28">
        <v>2.4735600000000001E-3</v>
      </c>
      <c r="I28">
        <v>2.42487E-3</v>
      </c>
      <c r="J28">
        <v>2.3808000000000002E-3</v>
      </c>
      <c r="K28">
        <v>2.30175E-3</v>
      </c>
      <c r="L28">
        <v>2.2446699999999998E-3</v>
      </c>
      <c r="M28">
        <v>2.1693699999999999E-3</v>
      </c>
      <c r="N28">
        <v>2.12407E-3</v>
      </c>
      <c r="O28">
        <v>2.06529E-3</v>
      </c>
      <c r="P28">
        <v>2.0019899999999999E-3</v>
      </c>
      <c r="Q28">
        <v>1.9593599999999998E-3</v>
      </c>
      <c r="R28">
        <v>1.93508E-3</v>
      </c>
      <c r="S28">
        <v>1.92267E-3</v>
      </c>
      <c r="T28">
        <v>1.90015E-3</v>
      </c>
      <c r="U28">
        <v>1.8829700000000001E-3</v>
      </c>
      <c r="V28">
        <v>1.8519400000000001E-3</v>
      </c>
      <c r="W28">
        <v>2.0348800000000002E-3</v>
      </c>
      <c r="X28">
        <v>1.99876E-3</v>
      </c>
      <c r="Y28">
        <v>1.84895E-3</v>
      </c>
      <c r="Z28">
        <v>1.8241500000000001E-3</v>
      </c>
      <c r="AA28">
        <v>1.8233100000000001E-3</v>
      </c>
      <c r="AB28">
        <v>1.8107100000000001E-3</v>
      </c>
      <c r="AC28">
        <v>1.7998199999999999E-3</v>
      </c>
      <c r="AD28">
        <v>1.79144E-3</v>
      </c>
      <c r="AE28">
        <v>1.78188E-3</v>
      </c>
      <c r="AF28">
        <v>1.7718499999999999E-3</v>
      </c>
      <c r="AG28">
        <v>1.7606399999999999E-3</v>
      </c>
      <c r="AH28">
        <v>1.7468099999999999E-3</v>
      </c>
      <c r="AI28">
        <v>1.7307100000000001E-3</v>
      </c>
      <c r="AJ28">
        <v>1.71455E-3</v>
      </c>
      <c r="AK28">
        <v>1.6982200000000001E-3</v>
      </c>
      <c r="AL28">
        <v>1.6822899999999999E-3</v>
      </c>
      <c r="AM28">
        <v>1.66592E-3</v>
      </c>
      <c r="AN28">
        <v>1.64964E-3</v>
      </c>
      <c r="AO28">
        <v>1.63452E-3</v>
      </c>
      <c r="AP28">
        <v>1.62024E-3</v>
      </c>
      <c r="AQ28">
        <v>1.6058999999999999E-3</v>
      </c>
      <c r="AR28">
        <v>1.59296E-3</v>
      </c>
      <c r="AS28">
        <v>1.5841500000000001E-3</v>
      </c>
      <c r="AT28">
        <v>1.5794800000000001E-3</v>
      </c>
      <c r="AU28">
        <v>1.5779500000000001E-3</v>
      </c>
      <c r="AV28">
        <v>1.5806100000000001E-3</v>
      </c>
      <c r="AW28">
        <v>1.5854700000000001E-3</v>
      </c>
      <c r="AX28">
        <v>1.5870400000000001E-3</v>
      </c>
      <c r="AY28">
        <v>1.58501E-3</v>
      </c>
      <c r="AZ28">
        <v>1.5790800000000001E-3</v>
      </c>
      <c r="BA28">
        <v>1.56941E-3</v>
      </c>
      <c r="BB28">
        <v>1.5581900000000001E-3</v>
      </c>
      <c r="BC28">
        <v>1.5470600000000001E-3</v>
      </c>
      <c r="BD28">
        <v>1.5362100000000001E-3</v>
      </c>
      <c r="BE28">
        <v>1.5251100000000001E-3</v>
      </c>
      <c r="BF28">
        <v>1.51403E-3</v>
      </c>
      <c r="BG28">
        <v>1.5018500000000001E-3</v>
      </c>
      <c r="BH28">
        <v>1.48968E-3</v>
      </c>
      <c r="BI28">
        <v>1.4775700000000001E-3</v>
      </c>
      <c r="BJ28">
        <v>1.4647799999999999E-3</v>
      </c>
      <c r="BK28">
        <v>1.4518599999999999E-3</v>
      </c>
      <c r="BL28">
        <v>1.43844E-3</v>
      </c>
      <c r="BM28">
        <v>1.42471E-3</v>
      </c>
      <c r="BN28">
        <v>1.4110100000000001E-3</v>
      </c>
      <c r="BO28">
        <v>1.3967199999999999E-3</v>
      </c>
      <c r="BP28">
        <v>1.38294E-3</v>
      </c>
      <c r="BQ28">
        <v>1.3695999999999999E-3</v>
      </c>
      <c r="BR28">
        <v>1.35666E-3</v>
      </c>
      <c r="BS28">
        <v>1.3439000000000001E-3</v>
      </c>
      <c r="BT28">
        <v>1.3317800000000001E-3</v>
      </c>
      <c r="BU28">
        <v>1.3197E-3</v>
      </c>
      <c r="BV28">
        <v>1.3085499999999999E-3</v>
      </c>
      <c r="BW28">
        <v>1.29721E-3</v>
      </c>
      <c r="BX28">
        <v>1.28678E-3</v>
      </c>
      <c r="BY28">
        <v>1.27692E-3</v>
      </c>
      <c r="BZ28">
        <v>1.2670100000000001E-3</v>
      </c>
      <c r="CA28">
        <v>1.2578000000000001E-3</v>
      </c>
      <c r="CB28">
        <v>1.24825E-3</v>
      </c>
      <c r="CC28">
        <v>1.23905E-3</v>
      </c>
      <c r="CD28">
        <v>1.2296500000000001E-3</v>
      </c>
      <c r="CE28">
        <v>1.2196500000000001E-3</v>
      </c>
      <c r="CF28">
        <v>1.2096699999999999E-3</v>
      </c>
      <c r="CG28">
        <v>1.1999700000000001E-3</v>
      </c>
      <c r="CH28">
        <v>1.1894399999999999E-3</v>
      </c>
      <c r="CI28">
        <v>1.17891E-3</v>
      </c>
      <c r="CJ28">
        <v>1.16832E-3</v>
      </c>
      <c r="CK28">
        <v>1.15759E-3</v>
      </c>
      <c r="CL28">
        <v>1.14656E-3</v>
      </c>
      <c r="CM28">
        <v>1.1351600000000001E-3</v>
      </c>
      <c r="CN28">
        <v>1.12378E-3</v>
      </c>
      <c r="CO28">
        <v>1.1121799999999999E-3</v>
      </c>
      <c r="CP28">
        <v>1.1006200000000001E-3</v>
      </c>
      <c r="CQ28">
        <v>1.08884E-3</v>
      </c>
      <c r="CR28">
        <v>1.0765499999999999E-3</v>
      </c>
      <c r="CS28">
        <v>1.06437E-3</v>
      </c>
      <c r="CT28">
        <v>1.05255E-3</v>
      </c>
      <c r="CU28">
        <v>1.04071E-3</v>
      </c>
      <c r="CV28">
        <v>1.0289100000000001E-3</v>
      </c>
      <c r="CW28">
        <v>1.01757E-3</v>
      </c>
      <c r="CX28">
        <v>1.0061899999999999E-3</v>
      </c>
    </row>
    <row r="29" spans="1:102">
      <c r="A29" t="s">
        <v>349</v>
      </c>
      <c r="B29">
        <v>2.9943499999999998E-3</v>
      </c>
      <c r="C29">
        <v>2.9776E-3</v>
      </c>
      <c r="D29">
        <v>2.9457900000000002E-3</v>
      </c>
      <c r="E29">
        <v>2.9322300000000001E-3</v>
      </c>
      <c r="F29">
        <v>2.9209399999999999E-3</v>
      </c>
      <c r="G29">
        <v>2.8823999999999998E-3</v>
      </c>
      <c r="H29">
        <v>2.8405800000000001E-3</v>
      </c>
      <c r="I29">
        <v>2.8155799999999998E-3</v>
      </c>
      <c r="J29">
        <v>2.7913500000000002E-3</v>
      </c>
      <c r="K29">
        <v>2.7141299999999999E-3</v>
      </c>
      <c r="L29">
        <v>2.6494499999999998E-3</v>
      </c>
      <c r="M29">
        <v>2.5644700000000001E-3</v>
      </c>
      <c r="N29">
        <v>2.4951399999999999E-3</v>
      </c>
      <c r="O29">
        <v>2.4243400000000001E-3</v>
      </c>
      <c r="P29">
        <v>2.3566899999999998E-3</v>
      </c>
      <c r="Q29">
        <v>2.3025200000000002E-3</v>
      </c>
      <c r="R29">
        <v>2.2672399999999998E-3</v>
      </c>
      <c r="S29">
        <v>2.2358399999999998E-3</v>
      </c>
      <c r="T29">
        <v>2.1901500000000001E-3</v>
      </c>
      <c r="U29">
        <v>2.1543999999999999E-3</v>
      </c>
      <c r="V29">
        <v>2.1551500000000002E-3</v>
      </c>
      <c r="W29">
        <v>2.3622600000000001E-3</v>
      </c>
      <c r="X29">
        <v>2.3022199999999998E-3</v>
      </c>
      <c r="Y29">
        <v>2.08595E-3</v>
      </c>
      <c r="Z29">
        <v>2.0579800000000001E-3</v>
      </c>
      <c r="AA29">
        <v>2.0617500000000002E-3</v>
      </c>
      <c r="AB29">
        <v>2.0555600000000001E-3</v>
      </c>
      <c r="AC29">
        <v>2.0438499999999998E-3</v>
      </c>
      <c r="AD29">
        <v>2.0332800000000002E-3</v>
      </c>
      <c r="AE29">
        <v>2.0228500000000001E-3</v>
      </c>
      <c r="AF29">
        <v>2.0113800000000001E-3</v>
      </c>
      <c r="AG29">
        <v>1.9995E-3</v>
      </c>
      <c r="AH29">
        <v>1.98891E-3</v>
      </c>
      <c r="AI29">
        <v>1.97832E-3</v>
      </c>
      <c r="AJ29">
        <v>1.9676099999999998E-3</v>
      </c>
      <c r="AK29">
        <v>1.9566499999999999E-3</v>
      </c>
      <c r="AL29">
        <v>1.94472E-3</v>
      </c>
      <c r="AM29">
        <v>1.92979E-3</v>
      </c>
      <c r="AN29">
        <v>1.9125500000000001E-3</v>
      </c>
      <c r="AO29">
        <v>1.8943600000000001E-3</v>
      </c>
      <c r="AP29">
        <v>1.8761400000000001E-3</v>
      </c>
      <c r="AQ29">
        <v>1.8580599999999999E-3</v>
      </c>
      <c r="AR29">
        <v>1.83982E-3</v>
      </c>
      <c r="AS29">
        <v>1.8221299999999999E-3</v>
      </c>
      <c r="AT29">
        <v>1.8055E-3</v>
      </c>
      <c r="AU29">
        <v>1.78897E-3</v>
      </c>
      <c r="AV29">
        <v>1.77312E-3</v>
      </c>
      <c r="AW29">
        <v>1.7588199999999999E-3</v>
      </c>
      <c r="AX29">
        <v>1.74825E-3</v>
      </c>
      <c r="AY29">
        <v>1.7426399999999999E-3</v>
      </c>
      <c r="AZ29">
        <v>1.7412300000000001E-3</v>
      </c>
      <c r="BA29">
        <v>1.7441100000000001E-3</v>
      </c>
      <c r="BB29">
        <v>1.7493599999999999E-3</v>
      </c>
      <c r="BC29">
        <v>1.7518200000000001E-3</v>
      </c>
      <c r="BD29">
        <v>1.7498399999999999E-3</v>
      </c>
      <c r="BE29">
        <v>1.74336E-3</v>
      </c>
      <c r="BF29">
        <v>1.7326399999999999E-3</v>
      </c>
      <c r="BG29">
        <v>1.7198199999999999E-3</v>
      </c>
      <c r="BH29">
        <v>1.70743E-3</v>
      </c>
      <c r="BI29">
        <v>1.6954299999999999E-3</v>
      </c>
      <c r="BJ29">
        <v>1.6831299999999999E-3</v>
      </c>
      <c r="BK29">
        <v>1.6709100000000001E-3</v>
      </c>
      <c r="BL29">
        <v>1.65803E-3</v>
      </c>
      <c r="BM29">
        <v>1.6446200000000001E-3</v>
      </c>
      <c r="BN29">
        <v>1.63105E-3</v>
      </c>
      <c r="BO29">
        <v>1.61651E-3</v>
      </c>
      <c r="BP29">
        <v>1.60191E-3</v>
      </c>
      <c r="BQ29">
        <v>1.5873700000000001E-3</v>
      </c>
      <c r="BR29">
        <v>1.57274E-3</v>
      </c>
      <c r="BS29">
        <v>1.5577200000000001E-3</v>
      </c>
      <c r="BT29">
        <v>1.54305E-3</v>
      </c>
      <c r="BU29">
        <v>1.5280700000000001E-3</v>
      </c>
      <c r="BV29">
        <v>1.5136100000000001E-3</v>
      </c>
      <c r="BW29">
        <v>1.49866E-3</v>
      </c>
      <c r="BX29">
        <v>1.4846200000000001E-3</v>
      </c>
      <c r="BY29">
        <v>1.47094E-3</v>
      </c>
      <c r="BZ29">
        <v>1.45711E-3</v>
      </c>
      <c r="CA29">
        <v>1.44439E-3</v>
      </c>
      <c r="CB29">
        <v>1.43195E-3</v>
      </c>
      <c r="CC29">
        <v>1.4204E-3</v>
      </c>
      <c r="CD29">
        <v>1.40917E-3</v>
      </c>
      <c r="CE29">
        <v>1.39781E-3</v>
      </c>
      <c r="CF29">
        <v>1.3868299999999999E-3</v>
      </c>
      <c r="CG29">
        <v>1.37633E-3</v>
      </c>
      <c r="CH29">
        <v>1.3653300000000001E-3</v>
      </c>
      <c r="CI29">
        <v>1.3544799999999999E-3</v>
      </c>
      <c r="CJ29">
        <v>1.34381E-3</v>
      </c>
      <c r="CK29">
        <v>1.3331899999999999E-3</v>
      </c>
      <c r="CL29">
        <v>1.3222900000000001E-3</v>
      </c>
      <c r="CM29">
        <v>1.3106999999999999E-3</v>
      </c>
      <c r="CN29">
        <v>1.2990600000000001E-3</v>
      </c>
      <c r="CO29">
        <v>1.28706E-3</v>
      </c>
      <c r="CP29">
        <v>1.2747800000000001E-3</v>
      </c>
      <c r="CQ29">
        <v>1.26201E-3</v>
      </c>
      <c r="CR29">
        <v>1.24872E-3</v>
      </c>
      <c r="CS29">
        <v>1.2353799999999999E-3</v>
      </c>
      <c r="CT29">
        <v>1.22215E-3</v>
      </c>
      <c r="CU29">
        <v>1.20878E-3</v>
      </c>
      <c r="CV29">
        <v>1.1953700000000001E-3</v>
      </c>
      <c r="CW29">
        <v>1.18201E-3</v>
      </c>
      <c r="CX29">
        <v>1.16836E-3</v>
      </c>
    </row>
    <row r="30" spans="1:102">
      <c r="A30" t="s">
        <v>350</v>
      </c>
      <c r="B30">
        <v>3.7046900000000001E-3</v>
      </c>
      <c r="C30">
        <v>3.6479199999999998E-3</v>
      </c>
      <c r="D30">
        <v>3.5921299999999998E-3</v>
      </c>
      <c r="E30">
        <v>3.5591099999999999E-3</v>
      </c>
      <c r="F30">
        <v>3.5257700000000001E-3</v>
      </c>
      <c r="G30">
        <v>3.4497899999999999E-3</v>
      </c>
      <c r="H30">
        <v>3.37075E-3</v>
      </c>
      <c r="I30">
        <v>3.3159700000000001E-3</v>
      </c>
      <c r="J30">
        <v>3.2896000000000002E-3</v>
      </c>
      <c r="K30">
        <v>3.2230900000000001E-3</v>
      </c>
      <c r="L30">
        <v>3.1705399999999999E-3</v>
      </c>
      <c r="M30">
        <v>3.1109100000000002E-3</v>
      </c>
      <c r="N30">
        <v>3.06683E-3</v>
      </c>
      <c r="O30">
        <v>3.0095199999999999E-3</v>
      </c>
      <c r="P30">
        <v>2.9427199999999998E-3</v>
      </c>
      <c r="Q30">
        <v>2.8859699999999999E-3</v>
      </c>
      <c r="R30">
        <v>2.8405100000000001E-3</v>
      </c>
      <c r="S30">
        <v>2.7947200000000001E-3</v>
      </c>
      <c r="T30">
        <v>2.7439700000000001E-3</v>
      </c>
      <c r="U30">
        <v>2.7076100000000001E-3</v>
      </c>
      <c r="V30">
        <v>2.8032899999999999E-3</v>
      </c>
      <c r="W30">
        <v>3.0965200000000002E-3</v>
      </c>
      <c r="X30">
        <v>2.9816899999999999E-3</v>
      </c>
      <c r="Y30">
        <v>2.6060100000000002E-3</v>
      </c>
      <c r="Z30">
        <v>2.5386900000000001E-3</v>
      </c>
      <c r="AA30">
        <v>2.50651E-3</v>
      </c>
      <c r="AB30">
        <v>2.47781E-3</v>
      </c>
      <c r="AC30">
        <v>2.4604700000000002E-3</v>
      </c>
      <c r="AD30">
        <v>2.4498900000000001E-3</v>
      </c>
      <c r="AE30">
        <v>2.4416099999999999E-3</v>
      </c>
      <c r="AF30">
        <v>2.4379499999999999E-3</v>
      </c>
      <c r="AG30">
        <v>2.4321199999999999E-3</v>
      </c>
      <c r="AH30">
        <v>2.4195000000000002E-3</v>
      </c>
      <c r="AI30">
        <v>2.40537E-3</v>
      </c>
      <c r="AJ30">
        <v>2.3925800000000001E-3</v>
      </c>
      <c r="AK30">
        <v>2.3783400000000001E-3</v>
      </c>
      <c r="AL30">
        <v>2.3638999999999999E-3</v>
      </c>
      <c r="AM30">
        <v>2.3512699999999999E-3</v>
      </c>
      <c r="AN30">
        <v>2.3386399999999999E-3</v>
      </c>
      <c r="AO30">
        <v>2.3249099999999999E-3</v>
      </c>
      <c r="AP30">
        <v>2.3113000000000001E-3</v>
      </c>
      <c r="AQ30">
        <v>2.2958900000000001E-3</v>
      </c>
      <c r="AR30">
        <v>2.27728E-3</v>
      </c>
      <c r="AS30">
        <v>2.2569000000000001E-3</v>
      </c>
      <c r="AT30">
        <v>2.2353999999999998E-3</v>
      </c>
      <c r="AU30">
        <v>2.21287E-3</v>
      </c>
      <c r="AV30">
        <v>2.1918599999999999E-3</v>
      </c>
      <c r="AW30">
        <v>2.1706099999999999E-3</v>
      </c>
      <c r="AX30">
        <v>2.1490900000000002E-3</v>
      </c>
      <c r="AY30">
        <v>2.1292199999999998E-3</v>
      </c>
      <c r="AZ30">
        <v>2.11072E-3</v>
      </c>
      <c r="BA30">
        <v>2.0923999999999999E-3</v>
      </c>
      <c r="BB30">
        <v>2.07486E-3</v>
      </c>
      <c r="BC30">
        <v>2.0623199999999999E-3</v>
      </c>
      <c r="BD30">
        <v>2.0552299999999999E-3</v>
      </c>
      <c r="BE30">
        <v>2.0527800000000001E-3</v>
      </c>
      <c r="BF30">
        <v>2.0556699999999999E-3</v>
      </c>
      <c r="BG30">
        <v>2.0613699999999999E-3</v>
      </c>
      <c r="BH30">
        <v>2.0640200000000002E-3</v>
      </c>
      <c r="BI30">
        <v>2.0613699999999999E-3</v>
      </c>
      <c r="BJ30">
        <v>2.0534099999999999E-3</v>
      </c>
      <c r="BK30">
        <v>2.0405000000000002E-3</v>
      </c>
      <c r="BL30">
        <v>2.0253900000000002E-3</v>
      </c>
      <c r="BM30">
        <v>2.0102900000000001E-3</v>
      </c>
      <c r="BN30">
        <v>1.9955400000000001E-3</v>
      </c>
      <c r="BO30">
        <v>1.9800199999999999E-3</v>
      </c>
      <c r="BP30">
        <v>1.9646099999999999E-3</v>
      </c>
      <c r="BQ30">
        <v>1.9492699999999999E-3</v>
      </c>
      <c r="BR30">
        <v>1.93355E-3</v>
      </c>
      <c r="BS30">
        <v>1.91724E-3</v>
      </c>
      <c r="BT30">
        <v>1.9010800000000001E-3</v>
      </c>
      <c r="BU30">
        <v>1.88382E-3</v>
      </c>
      <c r="BV30">
        <v>1.8666799999999999E-3</v>
      </c>
      <c r="BW30">
        <v>1.8485299999999999E-3</v>
      </c>
      <c r="BX30">
        <v>1.83073E-3</v>
      </c>
      <c r="BY30">
        <v>1.81291E-3</v>
      </c>
      <c r="BZ30">
        <v>1.7945599999999999E-3</v>
      </c>
      <c r="CA30">
        <v>1.7768300000000001E-3</v>
      </c>
      <c r="CB30">
        <v>1.7591900000000001E-3</v>
      </c>
      <c r="CC30">
        <v>1.7424300000000001E-3</v>
      </c>
      <c r="CD30">
        <v>1.7256400000000001E-3</v>
      </c>
      <c r="CE30">
        <v>1.70874E-3</v>
      </c>
      <c r="CF30">
        <v>1.69272E-3</v>
      </c>
      <c r="CG30">
        <v>1.6777000000000001E-3</v>
      </c>
      <c r="CH30">
        <v>1.6628299999999999E-3</v>
      </c>
      <c r="CI30">
        <v>1.6486999999999999E-3</v>
      </c>
      <c r="CJ30">
        <v>1.63535E-3</v>
      </c>
      <c r="CK30">
        <v>1.62239E-3</v>
      </c>
      <c r="CL30">
        <v>1.6095199999999999E-3</v>
      </c>
      <c r="CM30">
        <v>1.5961E-3</v>
      </c>
      <c r="CN30">
        <v>1.5829800000000001E-3</v>
      </c>
      <c r="CO30">
        <v>1.5697199999999999E-3</v>
      </c>
      <c r="CP30">
        <v>1.5562799999999999E-3</v>
      </c>
      <c r="CQ30">
        <v>1.54236E-3</v>
      </c>
      <c r="CR30">
        <v>1.52764E-3</v>
      </c>
      <c r="CS30">
        <v>1.5126300000000001E-3</v>
      </c>
      <c r="CT30">
        <v>1.4976499999999999E-3</v>
      </c>
      <c r="CU30">
        <v>1.48222E-3</v>
      </c>
      <c r="CV30">
        <v>1.4664000000000001E-3</v>
      </c>
      <c r="CW30">
        <v>1.45053E-3</v>
      </c>
      <c r="CX30">
        <v>1.4343699999999999E-3</v>
      </c>
    </row>
    <row r="31" spans="1:102">
      <c r="A31" t="s">
        <v>351</v>
      </c>
      <c r="B31">
        <v>4.9863800000000003E-3</v>
      </c>
      <c r="C31">
        <v>4.9602300000000004E-3</v>
      </c>
      <c r="D31">
        <v>4.9060299999999996E-3</v>
      </c>
      <c r="E31">
        <v>4.8176599999999997E-3</v>
      </c>
      <c r="F31">
        <v>4.6966899999999999E-3</v>
      </c>
      <c r="G31">
        <v>4.55968E-3</v>
      </c>
      <c r="H31">
        <v>4.4043399999999996E-3</v>
      </c>
      <c r="I31">
        <v>4.3248799999999997E-3</v>
      </c>
      <c r="J31">
        <v>4.2975899999999996E-3</v>
      </c>
      <c r="K31">
        <v>4.2297300000000001E-3</v>
      </c>
      <c r="L31">
        <v>4.1639600000000004E-3</v>
      </c>
      <c r="M31">
        <v>4.0761800000000004E-3</v>
      </c>
      <c r="N31">
        <v>3.99724E-3</v>
      </c>
      <c r="O31">
        <v>3.9115900000000004E-3</v>
      </c>
      <c r="P31">
        <v>3.82117E-3</v>
      </c>
      <c r="Q31">
        <v>3.7568699999999998E-3</v>
      </c>
      <c r="R31">
        <v>3.7163700000000001E-3</v>
      </c>
      <c r="S31">
        <v>3.6937799999999998E-3</v>
      </c>
      <c r="T31">
        <v>3.65957E-3</v>
      </c>
      <c r="U31">
        <v>3.6379799999999999E-3</v>
      </c>
      <c r="V31">
        <v>3.8623500000000001E-3</v>
      </c>
      <c r="W31">
        <v>4.26509E-3</v>
      </c>
      <c r="X31">
        <v>4.0842600000000001E-3</v>
      </c>
      <c r="Y31">
        <v>3.5300900000000001E-3</v>
      </c>
      <c r="Z31">
        <v>3.4488100000000001E-3</v>
      </c>
      <c r="AA31">
        <v>3.41005E-3</v>
      </c>
      <c r="AB31">
        <v>3.3711000000000001E-3</v>
      </c>
      <c r="AC31">
        <v>3.3318200000000001E-3</v>
      </c>
      <c r="AD31">
        <v>3.2913899999999999E-3</v>
      </c>
      <c r="AE31">
        <v>3.2470099999999998E-3</v>
      </c>
      <c r="AF31">
        <v>3.2027399999999999E-3</v>
      </c>
      <c r="AG31">
        <v>3.1671400000000001E-3</v>
      </c>
      <c r="AH31">
        <v>3.1438999999999998E-3</v>
      </c>
      <c r="AI31">
        <v>3.12495E-3</v>
      </c>
      <c r="AJ31">
        <v>3.1102399999999998E-3</v>
      </c>
      <c r="AK31">
        <v>3.1016099999999999E-3</v>
      </c>
      <c r="AL31">
        <v>3.0911599999999999E-3</v>
      </c>
      <c r="AM31">
        <v>3.07355E-3</v>
      </c>
      <c r="AN31">
        <v>3.0543599999999999E-3</v>
      </c>
      <c r="AO31">
        <v>3.0358799999999999E-3</v>
      </c>
      <c r="AP31">
        <v>3.01644E-3</v>
      </c>
      <c r="AQ31">
        <v>2.99629E-3</v>
      </c>
      <c r="AR31">
        <v>2.9786700000000001E-3</v>
      </c>
      <c r="AS31">
        <v>2.96226E-3</v>
      </c>
      <c r="AT31">
        <v>2.94429E-3</v>
      </c>
      <c r="AU31">
        <v>2.92508E-3</v>
      </c>
      <c r="AV31">
        <v>2.9055499999999998E-3</v>
      </c>
      <c r="AW31">
        <v>2.8823199999999998E-3</v>
      </c>
      <c r="AX31">
        <v>2.8561699999999999E-3</v>
      </c>
      <c r="AY31">
        <v>2.8295899999999999E-3</v>
      </c>
      <c r="AZ31">
        <v>2.8036799999999998E-3</v>
      </c>
      <c r="BA31">
        <v>2.7788800000000001E-3</v>
      </c>
      <c r="BB31">
        <v>2.7531500000000002E-3</v>
      </c>
      <c r="BC31">
        <v>2.72777E-3</v>
      </c>
      <c r="BD31">
        <v>2.7037799999999998E-3</v>
      </c>
      <c r="BE31">
        <v>2.68089E-3</v>
      </c>
      <c r="BF31">
        <v>2.6581399999999998E-3</v>
      </c>
      <c r="BG31">
        <v>2.63612E-3</v>
      </c>
      <c r="BH31">
        <v>2.6202600000000001E-3</v>
      </c>
      <c r="BI31">
        <v>2.6109800000000002E-3</v>
      </c>
      <c r="BJ31">
        <v>2.6075400000000002E-3</v>
      </c>
      <c r="BK31">
        <v>2.6109800000000002E-3</v>
      </c>
      <c r="BL31">
        <v>2.61787E-3</v>
      </c>
      <c r="BM31">
        <v>2.62065E-3</v>
      </c>
      <c r="BN31">
        <v>2.6170099999999999E-3</v>
      </c>
      <c r="BO31">
        <v>2.6060800000000002E-3</v>
      </c>
      <c r="BP31">
        <v>2.5889900000000002E-3</v>
      </c>
      <c r="BQ31">
        <v>2.57033E-3</v>
      </c>
      <c r="BR31">
        <v>2.5517999999999999E-3</v>
      </c>
      <c r="BS31">
        <v>2.53317E-3</v>
      </c>
      <c r="BT31">
        <v>2.5152E-3</v>
      </c>
      <c r="BU31">
        <v>2.4961200000000001E-3</v>
      </c>
      <c r="BV31">
        <v>2.4771200000000002E-3</v>
      </c>
      <c r="BW31">
        <v>2.4567600000000001E-3</v>
      </c>
      <c r="BX31">
        <v>2.4367099999999999E-3</v>
      </c>
      <c r="BY31">
        <v>2.4163000000000001E-3</v>
      </c>
      <c r="BZ31">
        <v>2.3945400000000001E-3</v>
      </c>
      <c r="CA31">
        <v>2.3728099999999999E-3</v>
      </c>
      <c r="CB31">
        <v>2.3507599999999999E-3</v>
      </c>
      <c r="CC31">
        <v>2.32876E-3</v>
      </c>
      <c r="CD31">
        <v>2.30612E-3</v>
      </c>
      <c r="CE31">
        <v>2.2829700000000001E-3</v>
      </c>
      <c r="CF31">
        <v>2.2601600000000002E-3</v>
      </c>
      <c r="CG31">
        <v>2.2379399999999999E-3</v>
      </c>
      <c r="CH31">
        <v>2.21587E-3</v>
      </c>
      <c r="CI31">
        <v>2.1943000000000002E-3</v>
      </c>
      <c r="CJ31">
        <v>2.1735999999999999E-3</v>
      </c>
      <c r="CK31">
        <v>2.1538199999999999E-3</v>
      </c>
      <c r="CL31">
        <v>2.1349400000000001E-3</v>
      </c>
      <c r="CM31">
        <v>2.1158499999999998E-3</v>
      </c>
      <c r="CN31">
        <v>2.0980399999999998E-3</v>
      </c>
      <c r="CO31">
        <v>2.0807400000000002E-3</v>
      </c>
      <c r="CP31">
        <v>2.0634799999999999E-3</v>
      </c>
      <c r="CQ31">
        <v>2.0462100000000001E-3</v>
      </c>
      <c r="CR31">
        <v>2.0284399999999998E-3</v>
      </c>
      <c r="CS31">
        <v>2.0105499999999998E-3</v>
      </c>
      <c r="CT31">
        <v>1.9930400000000002E-3</v>
      </c>
      <c r="CU31">
        <v>1.9753000000000001E-3</v>
      </c>
      <c r="CV31">
        <v>1.9570199999999999E-3</v>
      </c>
      <c r="CW31">
        <v>1.9383E-3</v>
      </c>
      <c r="CX31">
        <v>1.9190699999999999E-3</v>
      </c>
    </row>
    <row r="32" spans="1:102">
      <c r="A32" t="s">
        <v>352</v>
      </c>
      <c r="B32">
        <v>6.8100299999999999E-3</v>
      </c>
      <c r="C32">
        <v>6.74224E-3</v>
      </c>
      <c r="D32">
        <v>6.6908000000000002E-3</v>
      </c>
      <c r="E32">
        <v>6.6669099999999999E-3</v>
      </c>
      <c r="F32">
        <v>6.6179400000000001E-3</v>
      </c>
      <c r="G32">
        <v>6.5784399999999996E-3</v>
      </c>
      <c r="H32">
        <v>6.4788199999999997E-3</v>
      </c>
      <c r="I32">
        <v>6.3963099999999997E-3</v>
      </c>
      <c r="J32">
        <v>6.3033999999999998E-3</v>
      </c>
      <c r="K32">
        <v>6.0939799999999997E-3</v>
      </c>
      <c r="L32">
        <v>5.9059400000000001E-3</v>
      </c>
      <c r="M32">
        <v>5.6903800000000001E-3</v>
      </c>
      <c r="N32">
        <v>5.54522E-3</v>
      </c>
      <c r="O32">
        <v>5.4454600000000001E-3</v>
      </c>
      <c r="P32">
        <v>5.3272600000000003E-3</v>
      </c>
      <c r="Q32">
        <v>5.2370699999999999E-3</v>
      </c>
      <c r="R32">
        <v>5.1510100000000001E-3</v>
      </c>
      <c r="S32">
        <v>5.0834599999999997E-3</v>
      </c>
      <c r="T32">
        <v>4.9784599999999997E-3</v>
      </c>
      <c r="U32">
        <v>4.9233699999999998E-3</v>
      </c>
      <c r="V32">
        <v>5.29709E-3</v>
      </c>
      <c r="W32">
        <v>5.9385899999999997E-3</v>
      </c>
      <c r="X32">
        <v>5.6896999999999998E-3</v>
      </c>
      <c r="Y32">
        <v>4.9154000000000003E-3</v>
      </c>
      <c r="Z32">
        <v>4.8194600000000002E-3</v>
      </c>
      <c r="AA32">
        <v>4.77598E-3</v>
      </c>
      <c r="AB32">
        <v>4.7326699999999996E-3</v>
      </c>
      <c r="AC32">
        <v>4.6801200000000003E-3</v>
      </c>
      <c r="AD32">
        <v>4.6287999999999998E-3</v>
      </c>
      <c r="AE32">
        <v>4.5818899999999999E-3</v>
      </c>
      <c r="AF32">
        <v>4.5336100000000004E-3</v>
      </c>
      <c r="AG32">
        <v>4.4843299999999999E-3</v>
      </c>
      <c r="AH32">
        <v>4.4344600000000003E-3</v>
      </c>
      <c r="AI32">
        <v>4.3789700000000003E-3</v>
      </c>
      <c r="AJ32">
        <v>4.3201899999999998E-3</v>
      </c>
      <c r="AK32">
        <v>4.2616199999999998E-3</v>
      </c>
      <c r="AL32">
        <v>4.2136500000000002E-3</v>
      </c>
      <c r="AM32">
        <v>4.1819600000000002E-3</v>
      </c>
      <c r="AN32">
        <v>4.1557499999999997E-3</v>
      </c>
      <c r="AO32">
        <v>4.1343500000000002E-3</v>
      </c>
      <c r="AP32">
        <v>4.1220299999999996E-3</v>
      </c>
      <c r="AQ32">
        <v>4.1065399999999997E-3</v>
      </c>
      <c r="AR32">
        <v>4.0820500000000003E-3</v>
      </c>
      <c r="AS32">
        <v>4.0571000000000001E-3</v>
      </c>
      <c r="AT32">
        <v>4.03215E-3</v>
      </c>
      <c r="AU32">
        <v>4.0040099999999997E-3</v>
      </c>
      <c r="AV32">
        <v>3.9770300000000003E-3</v>
      </c>
      <c r="AW32">
        <v>3.9530900000000002E-3</v>
      </c>
      <c r="AX32">
        <v>3.9291200000000004E-3</v>
      </c>
      <c r="AY32">
        <v>3.9041499999999999E-3</v>
      </c>
      <c r="AZ32">
        <v>3.8805599999999999E-3</v>
      </c>
      <c r="BA32">
        <v>3.85542E-3</v>
      </c>
      <c r="BB32">
        <v>3.82505E-3</v>
      </c>
      <c r="BC32">
        <v>3.7919799999999999E-3</v>
      </c>
      <c r="BD32">
        <v>3.7579900000000001E-3</v>
      </c>
      <c r="BE32">
        <v>3.7244000000000001E-3</v>
      </c>
      <c r="BF32">
        <v>3.6922000000000001E-3</v>
      </c>
      <c r="BG32">
        <v>3.6586600000000002E-3</v>
      </c>
      <c r="BH32">
        <v>3.6259199999999999E-3</v>
      </c>
      <c r="BI32">
        <v>3.5947700000000002E-3</v>
      </c>
      <c r="BJ32">
        <v>3.5649700000000002E-3</v>
      </c>
      <c r="BK32">
        <v>3.5358E-3</v>
      </c>
      <c r="BL32">
        <v>3.5073299999999999E-3</v>
      </c>
      <c r="BM32">
        <v>3.4863199999999998E-3</v>
      </c>
      <c r="BN32">
        <v>3.47379E-3</v>
      </c>
      <c r="BO32">
        <v>3.4676899999999998E-3</v>
      </c>
      <c r="BP32">
        <v>3.4702800000000001E-3</v>
      </c>
      <c r="BQ32">
        <v>3.4792E-3</v>
      </c>
      <c r="BR32">
        <v>3.4830600000000001E-3</v>
      </c>
      <c r="BS32">
        <v>3.4779099999999999E-3</v>
      </c>
      <c r="BT32">
        <v>3.4651899999999999E-3</v>
      </c>
      <c r="BU32">
        <v>3.44269E-3</v>
      </c>
      <c r="BV32">
        <v>3.4179700000000002E-3</v>
      </c>
      <c r="BW32">
        <v>3.3924699999999999E-3</v>
      </c>
      <c r="BX32">
        <v>3.3682299999999998E-3</v>
      </c>
      <c r="BY32">
        <v>3.3440200000000001E-3</v>
      </c>
      <c r="BZ32">
        <v>3.31855E-3</v>
      </c>
      <c r="CA32">
        <v>3.2928900000000001E-3</v>
      </c>
      <c r="CB32">
        <v>3.2669299999999999E-3</v>
      </c>
      <c r="CC32">
        <v>3.2406900000000001E-3</v>
      </c>
      <c r="CD32">
        <v>3.2133299999999999E-3</v>
      </c>
      <c r="CE32">
        <v>3.1846600000000002E-3</v>
      </c>
      <c r="CF32">
        <v>3.1555799999999998E-3</v>
      </c>
      <c r="CG32">
        <v>3.1262400000000002E-3</v>
      </c>
      <c r="CH32">
        <v>3.0960499999999999E-3</v>
      </c>
      <c r="CI32">
        <v>3.0656899999999998E-3</v>
      </c>
      <c r="CJ32">
        <v>3.0357000000000001E-3</v>
      </c>
      <c r="CK32">
        <v>3.0058200000000002E-3</v>
      </c>
      <c r="CL32">
        <v>2.9768799999999999E-3</v>
      </c>
      <c r="CM32">
        <v>2.94728E-3</v>
      </c>
      <c r="CN32">
        <v>2.91903E-3</v>
      </c>
      <c r="CO32">
        <v>2.89149E-3</v>
      </c>
      <c r="CP32">
        <v>2.8643499999999999E-3</v>
      </c>
      <c r="CQ32">
        <v>2.8383100000000001E-3</v>
      </c>
      <c r="CR32">
        <v>2.8125099999999998E-3</v>
      </c>
      <c r="CS32">
        <v>2.7875700000000001E-3</v>
      </c>
      <c r="CT32">
        <v>2.7639000000000001E-3</v>
      </c>
      <c r="CU32">
        <v>2.74062E-3</v>
      </c>
      <c r="CV32">
        <v>2.7172199999999998E-3</v>
      </c>
      <c r="CW32">
        <v>2.6937300000000001E-3</v>
      </c>
      <c r="CX32">
        <v>2.67009E-3</v>
      </c>
    </row>
    <row r="33" spans="1:102">
      <c r="A33" t="s">
        <v>353</v>
      </c>
      <c r="B33">
        <v>9.8462199999999993E-3</v>
      </c>
      <c r="C33">
        <v>9.8143699999999993E-3</v>
      </c>
      <c r="D33">
        <v>9.7824599999999998E-3</v>
      </c>
      <c r="E33">
        <v>9.7606399999999992E-3</v>
      </c>
      <c r="F33">
        <v>9.6207099999999993E-3</v>
      </c>
      <c r="G33">
        <v>9.4711499999999994E-3</v>
      </c>
      <c r="H33">
        <v>9.2438099999999999E-3</v>
      </c>
      <c r="I33">
        <v>9.1024799999999996E-3</v>
      </c>
      <c r="J33">
        <v>9.0150300000000003E-3</v>
      </c>
      <c r="K33">
        <v>8.8444800000000001E-3</v>
      </c>
      <c r="L33">
        <v>8.7358000000000002E-3</v>
      </c>
      <c r="M33">
        <v>8.6095300000000007E-3</v>
      </c>
      <c r="N33">
        <v>8.4821400000000009E-3</v>
      </c>
      <c r="O33">
        <v>8.32923E-3</v>
      </c>
      <c r="P33">
        <v>8.1241300000000002E-3</v>
      </c>
      <c r="Q33">
        <v>7.9457299999999998E-3</v>
      </c>
      <c r="R33">
        <v>7.7655500000000004E-3</v>
      </c>
      <c r="S33">
        <v>7.6542600000000004E-3</v>
      </c>
      <c r="T33">
        <v>7.4960000000000001E-3</v>
      </c>
      <c r="U33">
        <v>7.39889E-3</v>
      </c>
      <c r="V33">
        <v>8.0250700000000005E-3</v>
      </c>
      <c r="W33">
        <v>8.9188900000000005E-3</v>
      </c>
      <c r="X33">
        <v>8.3811100000000006E-3</v>
      </c>
      <c r="Y33">
        <v>7.2068899999999997E-3</v>
      </c>
      <c r="Z33">
        <v>7.0407999999999998E-3</v>
      </c>
      <c r="AA33">
        <v>6.9730499999999997E-3</v>
      </c>
      <c r="AB33">
        <v>6.9325899999999998E-3</v>
      </c>
      <c r="AC33">
        <v>6.8949500000000004E-3</v>
      </c>
      <c r="AD33">
        <v>6.8619199999999997E-3</v>
      </c>
      <c r="AE33">
        <v>6.8236399999999997E-3</v>
      </c>
      <c r="AF33">
        <v>6.7723999999999996E-3</v>
      </c>
      <c r="AG33">
        <v>6.7103600000000003E-3</v>
      </c>
      <c r="AH33">
        <v>6.6362900000000004E-3</v>
      </c>
      <c r="AI33">
        <v>6.5594800000000003E-3</v>
      </c>
      <c r="AJ33">
        <v>6.4909299999999998E-3</v>
      </c>
      <c r="AK33">
        <v>6.4206999999999997E-3</v>
      </c>
      <c r="AL33">
        <v>6.3489699999999998E-3</v>
      </c>
      <c r="AM33">
        <v>6.2787399999999997E-3</v>
      </c>
      <c r="AN33">
        <v>6.2014100000000001E-3</v>
      </c>
      <c r="AO33">
        <v>6.1176099999999999E-3</v>
      </c>
      <c r="AP33">
        <v>6.0351299999999997E-3</v>
      </c>
      <c r="AQ33">
        <v>5.9652999999999998E-3</v>
      </c>
      <c r="AR33">
        <v>5.91736E-3</v>
      </c>
      <c r="AS33">
        <v>5.8791800000000003E-3</v>
      </c>
      <c r="AT33">
        <v>5.8461499999999996E-3</v>
      </c>
      <c r="AU33">
        <v>5.8245800000000002E-3</v>
      </c>
      <c r="AV33">
        <v>5.8021100000000001E-3</v>
      </c>
      <c r="AW33">
        <v>5.7673999999999998E-3</v>
      </c>
      <c r="AX33">
        <v>5.7299899999999999E-3</v>
      </c>
      <c r="AY33">
        <v>5.6940999999999997E-3</v>
      </c>
      <c r="AZ33">
        <v>5.65812E-3</v>
      </c>
      <c r="BA33">
        <v>5.6216299999999999E-3</v>
      </c>
      <c r="BB33">
        <v>5.5884899999999998E-3</v>
      </c>
      <c r="BC33">
        <v>5.5562900000000002E-3</v>
      </c>
      <c r="BD33">
        <v>5.52214E-3</v>
      </c>
      <c r="BE33">
        <v>5.4895200000000003E-3</v>
      </c>
      <c r="BF33">
        <v>5.4553199999999996E-3</v>
      </c>
      <c r="BG33">
        <v>5.4133599999999999E-3</v>
      </c>
      <c r="BH33">
        <v>5.3687199999999996E-3</v>
      </c>
      <c r="BI33">
        <v>5.3222199999999999E-3</v>
      </c>
      <c r="BJ33">
        <v>5.2764600000000002E-3</v>
      </c>
      <c r="BK33">
        <v>5.2336199999999996E-3</v>
      </c>
      <c r="BL33">
        <v>5.1882400000000002E-3</v>
      </c>
      <c r="BM33">
        <v>5.1439900000000002E-3</v>
      </c>
      <c r="BN33">
        <v>5.1028999999999996E-3</v>
      </c>
      <c r="BO33">
        <v>5.0619799999999998E-3</v>
      </c>
      <c r="BP33">
        <v>5.0206599999999997E-3</v>
      </c>
      <c r="BQ33">
        <v>4.9824300000000004E-3</v>
      </c>
      <c r="BR33">
        <v>4.9540900000000004E-3</v>
      </c>
      <c r="BS33">
        <v>4.93619E-3</v>
      </c>
      <c r="BT33">
        <v>4.9301700000000002E-3</v>
      </c>
      <c r="BU33">
        <v>4.9344899999999997E-3</v>
      </c>
      <c r="BV33">
        <v>4.9477699999999998E-3</v>
      </c>
      <c r="BW33">
        <v>4.9532200000000004E-3</v>
      </c>
      <c r="BX33">
        <v>4.9479700000000003E-3</v>
      </c>
      <c r="BY33">
        <v>4.9308199999999998E-3</v>
      </c>
      <c r="BZ33">
        <v>4.9002200000000003E-3</v>
      </c>
      <c r="CA33">
        <v>4.8659799999999998E-3</v>
      </c>
      <c r="CB33">
        <v>4.8329499999999999E-3</v>
      </c>
      <c r="CC33">
        <v>4.8003300000000002E-3</v>
      </c>
      <c r="CD33">
        <v>4.7671900000000001E-3</v>
      </c>
      <c r="CE33">
        <v>4.7329199999999998E-3</v>
      </c>
      <c r="CF33">
        <v>4.6980900000000003E-3</v>
      </c>
      <c r="CG33">
        <v>4.6624500000000003E-3</v>
      </c>
      <c r="CH33">
        <v>4.6256500000000002E-3</v>
      </c>
      <c r="CI33">
        <v>4.58831E-3</v>
      </c>
      <c r="CJ33">
        <v>4.55033E-3</v>
      </c>
      <c r="CK33">
        <v>4.51133E-3</v>
      </c>
      <c r="CL33">
        <v>4.4727100000000004E-3</v>
      </c>
      <c r="CM33">
        <v>4.4312700000000002E-3</v>
      </c>
      <c r="CN33">
        <v>4.3906700000000002E-3</v>
      </c>
      <c r="CO33">
        <v>4.3501900000000003E-3</v>
      </c>
      <c r="CP33">
        <v>4.3084400000000002E-3</v>
      </c>
      <c r="CQ33">
        <v>4.2679299999999996E-3</v>
      </c>
      <c r="CR33">
        <v>4.2277499999999997E-3</v>
      </c>
      <c r="CS33">
        <v>4.1880399999999996E-3</v>
      </c>
      <c r="CT33">
        <v>4.1498799999999999E-3</v>
      </c>
      <c r="CU33">
        <v>4.1132199999999999E-3</v>
      </c>
      <c r="CV33">
        <v>4.0773900000000002E-3</v>
      </c>
      <c r="CW33">
        <v>4.0424399999999996E-3</v>
      </c>
      <c r="CX33">
        <v>4.0087899999999999E-3</v>
      </c>
    </row>
    <row r="34" spans="1:102">
      <c r="A34" t="s">
        <v>354</v>
      </c>
      <c r="B34">
        <v>1.412745E-2</v>
      </c>
      <c r="C34">
        <v>1.38773E-2</v>
      </c>
      <c r="D34">
        <v>1.364541E-2</v>
      </c>
      <c r="E34">
        <v>1.349538E-2</v>
      </c>
      <c r="F34">
        <v>1.333312E-2</v>
      </c>
      <c r="G34">
        <v>1.323593E-2</v>
      </c>
      <c r="H34">
        <v>1.299228E-2</v>
      </c>
      <c r="I34">
        <v>1.2886150000000001E-2</v>
      </c>
      <c r="J34">
        <v>1.286341E-2</v>
      </c>
      <c r="K34">
        <v>1.2666439999999999E-2</v>
      </c>
      <c r="L34">
        <v>1.2559310000000001E-2</v>
      </c>
      <c r="M34">
        <v>1.2390760000000001E-2</v>
      </c>
      <c r="N34">
        <v>1.226621E-2</v>
      </c>
      <c r="O34">
        <v>1.2135709999999999E-2</v>
      </c>
      <c r="P34">
        <v>1.197029E-2</v>
      </c>
      <c r="Q34">
        <v>1.1878659999999999E-2</v>
      </c>
      <c r="R34">
        <v>1.179696E-2</v>
      </c>
      <c r="S34">
        <v>1.170685E-2</v>
      </c>
      <c r="T34">
        <v>1.1514409999999999E-2</v>
      </c>
      <c r="U34">
        <v>1.131339E-2</v>
      </c>
      <c r="V34">
        <v>1.242063E-2</v>
      </c>
      <c r="W34">
        <v>1.3597679999999999E-2</v>
      </c>
      <c r="X34">
        <v>1.261576E-2</v>
      </c>
      <c r="Y34">
        <v>1.0717269999999999E-2</v>
      </c>
      <c r="Z34">
        <v>1.044428E-2</v>
      </c>
      <c r="AA34">
        <v>1.029656E-2</v>
      </c>
      <c r="AB34">
        <v>1.017469E-2</v>
      </c>
      <c r="AC34">
        <v>1.005224E-2</v>
      </c>
      <c r="AD34">
        <v>9.9501899999999994E-3</v>
      </c>
      <c r="AE34">
        <v>9.8683599999999996E-3</v>
      </c>
      <c r="AF34">
        <v>9.80374E-3</v>
      </c>
      <c r="AG34">
        <v>9.7553199999999996E-3</v>
      </c>
      <c r="AH34">
        <v>9.71056E-3</v>
      </c>
      <c r="AI34">
        <v>9.6657300000000008E-3</v>
      </c>
      <c r="AJ34">
        <v>9.6152800000000004E-3</v>
      </c>
      <c r="AK34">
        <v>9.5430500000000008E-3</v>
      </c>
      <c r="AL34">
        <v>9.4520799999999999E-3</v>
      </c>
      <c r="AM34">
        <v>9.3439000000000005E-3</v>
      </c>
      <c r="AN34">
        <v>9.2317300000000005E-3</v>
      </c>
      <c r="AO34">
        <v>9.1317199999999994E-3</v>
      </c>
      <c r="AP34">
        <v>9.0326199999999999E-3</v>
      </c>
      <c r="AQ34">
        <v>8.9297400000000002E-3</v>
      </c>
      <c r="AR34">
        <v>8.8283200000000006E-3</v>
      </c>
      <c r="AS34">
        <v>8.7197200000000002E-3</v>
      </c>
      <c r="AT34">
        <v>8.5992599999999992E-3</v>
      </c>
      <c r="AU34">
        <v>8.4781100000000005E-3</v>
      </c>
      <c r="AV34">
        <v>8.38035E-3</v>
      </c>
      <c r="AW34">
        <v>8.3171600000000005E-3</v>
      </c>
      <c r="AX34">
        <v>8.2658300000000001E-3</v>
      </c>
      <c r="AY34">
        <v>8.2239199999999991E-3</v>
      </c>
      <c r="AZ34">
        <v>8.2030100000000002E-3</v>
      </c>
      <c r="BA34">
        <v>8.17529E-3</v>
      </c>
      <c r="BB34">
        <v>8.1283199999999996E-3</v>
      </c>
      <c r="BC34">
        <v>8.0784299999999993E-3</v>
      </c>
      <c r="BD34">
        <v>8.0290899999999991E-3</v>
      </c>
      <c r="BE34">
        <v>7.9778399999999999E-3</v>
      </c>
      <c r="BF34">
        <v>7.9263000000000007E-3</v>
      </c>
      <c r="BG34">
        <v>7.8769100000000009E-3</v>
      </c>
      <c r="BH34">
        <v>7.8301599999999992E-3</v>
      </c>
      <c r="BI34">
        <v>7.7782800000000003E-3</v>
      </c>
      <c r="BJ34">
        <v>7.7282699999999998E-3</v>
      </c>
      <c r="BK34">
        <v>7.6767399999999996E-3</v>
      </c>
      <c r="BL34">
        <v>7.6124599999999997E-3</v>
      </c>
      <c r="BM34">
        <v>7.5443300000000001E-3</v>
      </c>
      <c r="BN34">
        <v>7.4758000000000003E-3</v>
      </c>
      <c r="BO34">
        <v>7.40678E-3</v>
      </c>
      <c r="BP34">
        <v>7.34091E-3</v>
      </c>
      <c r="BQ34">
        <v>7.2749099999999999E-3</v>
      </c>
      <c r="BR34">
        <v>7.2100599999999999E-3</v>
      </c>
      <c r="BS34">
        <v>7.1475999999999996E-3</v>
      </c>
      <c r="BT34">
        <v>7.0888499999999998E-3</v>
      </c>
      <c r="BU34">
        <v>7.0273799999999997E-3</v>
      </c>
      <c r="BV34">
        <v>6.9698900000000003E-3</v>
      </c>
      <c r="BW34">
        <v>6.9254800000000004E-3</v>
      </c>
      <c r="BX34">
        <v>6.8990099999999997E-3</v>
      </c>
      <c r="BY34">
        <v>6.8865799999999998E-3</v>
      </c>
      <c r="BZ34">
        <v>6.8896000000000001E-3</v>
      </c>
      <c r="CA34">
        <v>6.9045599999999997E-3</v>
      </c>
      <c r="CB34">
        <v>6.9118199999999999E-3</v>
      </c>
      <c r="CC34">
        <v>6.90173E-3</v>
      </c>
      <c r="CD34">
        <v>6.87472E-3</v>
      </c>
      <c r="CE34">
        <v>6.8298500000000002E-3</v>
      </c>
      <c r="CF34">
        <v>6.7793200000000001E-3</v>
      </c>
      <c r="CG34">
        <v>6.7294E-3</v>
      </c>
      <c r="CH34">
        <v>6.6796800000000003E-3</v>
      </c>
      <c r="CI34">
        <v>6.6303400000000002E-3</v>
      </c>
      <c r="CJ34">
        <v>6.5804699999999997E-3</v>
      </c>
      <c r="CK34">
        <v>6.5295400000000003E-3</v>
      </c>
      <c r="CL34">
        <v>6.4793899999999998E-3</v>
      </c>
      <c r="CM34">
        <v>6.4251200000000003E-3</v>
      </c>
      <c r="CN34">
        <v>6.3718799999999999E-3</v>
      </c>
      <c r="CO34">
        <v>6.3178599999999998E-3</v>
      </c>
      <c r="CP34">
        <v>6.2601899999999997E-3</v>
      </c>
      <c r="CQ34">
        <v>6.2025500000000003E-3</v>
      </c>
      <c r="CR34">
        <v>6.1434200000000001E-3</v>
      </c>
      <c r="CS34">
        <v>6.0834299999999999E-3</v>
      </c>
      <c r="CT34">
        <v>6.0236600000000001E-3</v>
      </c>
      <c r="CU34">
        <v>5.9644099999999999E-3</v>
      </c>
      <c r="CV34">
        <v>5.9055799999999997E-3</v>
      </c>
      <c r="CW34">
        <v>5.84754E-3</v>
      </c>
      <c r="CX34">
        <v>5.7904499999999999E-3</v>
      </c>
    </row>
    <row r="35" spans="1:102">
      <c r="A35" t="s">
        <v>355</v>
      </c>
      <c r="B35">
        <v>2.228109E-2</v>
      </c>
      <c r="C35">
        <v>2.1973920000000001E-2</v>
      </c>
      <c r="D35">
        <v>2.1702430000000002E-2</v>
      </c>
      <c r="E35">
        <v>2.1318610000000002E-2</v>
      </c>
      <c r="F35">
        <v>2.0790260000000001E-2</v>
      </c>
      <c r="G35">
        <v>2.0396270000000001E-2</v>
      </c>
      <c r="H35">
        <v>1.9902340000000001E-2</v>
      </c>
      <c r="I35">
        <v>1.9670460000000001E-2</v>
      </c>
      <c r="J35">
        <v>1.951056E-2</v>
      </c>
      <c r="K35">
        <v>1.926313E-2</v>
      </c>
      <c r="L35">
        <v>1.9093140000000001E-2</v>
      </c>
      <c r="M35">
        <v>1.8849399999999999E-2</v>
      </c>
      <c r="N35">
        <v>1.8664839999999999E-2</v>
      </c>
      <c r="O35">
        <v>1.8507630000000001E-2</v>
      </c>
      <c r="P35">
        <v>1.8211450000000001E-2</v>
      </c>
      <c r="Q35">
        <v>1.801577E-2</v>
      </c>
      <c r="R35">
        <v>1.7801959999999999E-2</v>
      </c>
      <c r="S35">
        <v>1.770911E-2</v>
      </c>
      <c r="T35">
        <v>1.743691E-2</v>
      </c>
      <c r="U35">
        <v>1.7274129999999999E-2</v>
      </c>
      <c r="V35">
        <v>1.9240859999999999E-2</v>
      </c>
      <c r="W35">
        <v>2.1342630000000001E-2</v>
      </c>
      <c r="X35">
        <v>1.9933670000000001E-2</v>
      </c>
      <c r="Y35">
        <v>1.674658E-2</v>
      </c>
      <c r="Z35">
        <v>1.62004E-2</v>
      </c>
      <c r="AA35">
        <v>1.5865239999999999E-2</v>
      </c>
      <c r="AB35">
        <v>1.557855E-2</v>
      </c>
      <c r="AC35">
        <v>1.533782E-2</v>
      </c>
      <c r="AD35">
        <v>1.514768E-2</v>
      </c>
      <c r="AE35">
        <v>1.4963499999999999E-2</v>
      </c>
      <c r="AF35">
        <v>1.47782E-2</v>
      </c>
      <c r="AG35">
        <v>1.4594620000000001E-2</v>
      </c>
      <c r="AH35">
        <v>1.4413489999999999E-2</v>
      </c>
      <c r="AI35">
        <v>1.425206E-2</v>
      </c>
      <c r="AJ35">
        <v>1.412153E-2</v>
      </c>
      <c r="AK35">
        <v>1.401261E-2</v>
      </c>
      <c r="AL35">
        <v>1.3923079999999999E-2</v>
      </c>
      <c r="AM35">
        <v>1.384033E-2</v>
      </c>
      <c r="AN35">
        <v>1.375842E-2</v>
      </c>
      <c r="AO35">
        <v>1.366819E-2</v>
      </c>
      <c r="AP35">
        <v>1.355437E-2</v>
      </c>
      <c r="AQ35">
        <v>1.341557E-2</v>
      </c>
      <c r="AR35">
        <v>1.3256820000000001E-2</v>
      </c>
      <c r="AS35">
        <v>1.310179E-2</v>
      </c>
      <c r="AT35">
        <v>1.2959389999999999E-2</v>
      </c>
      <c r="AU35">
        <v>1.281298E-2</v>
      </c>
      <c r="AV35">
        <v>1.266491E-2</v>
      </c>
      <c r="AW35">
        <v>1.2520170000000001E-2</v>
      </c>
      <c r="AX35">
        <v>1.236338E-2</v>
      </c>
      <c r="AY35">
        <v>1.2195859999999999E-2</v>
      </c>
      <c r="AZ35">
        <v>1.2034909999999999E-2</v>
      </c>
      <c r="BA35">
        <v>1.1900040000000001E-2</v>
      </c>
      <c r="BB35">
        <v>1.1810630000000001E-2</v>
      </c>
      <c r="BC35">
        <v>1.1737879999999999E-2</v>
      </c>
      <c r="BD35">
        <v>1.1675420000000001E-2</v>
      </c>
      <c r="BE35">
        <v>1.1638570000000001E-2</v>
      </c>
      <c r="BF35">
        <v>1.1596820000000001E-2</v>
      </c>
      <c r="BG35">
        <v>1.152799E-2</v>
      </c>
      <c r="BH35">
        <v>1.1459169999999999E-2</v>
      </c>
      <c r="BI35">
        <v>1.1388860000000001E-2</v>
      </c>
      <c r="BJ35">
        <v>1.131595E-2</v>
      </c>
      <c r="BK35">
        <v>1.124501E-2</v>
      </c>
      <c r="BL35">
        <v>1.1175640000000001E-2</v>
      </c>
      <c r="BM35">
        <v>1.1109620000000001E-2</v>
      </c>
      <c r="BN35">
        <v>1.104109E-2</v>
      </c>
      <c r="BO35">
        <v>1.09716E-2</v>
      </c>
      <c r="BP35">
        <v>1.0898339999999999E-2</v>
      </c>
      <c r="BQ35">
        <v>1.081383E-2</v>
      </c>
      <c r="BR35">
        <v>1.0722799999999999E-2</v>
      </c>
      <c r="BS35">
        <v>1.062802E-2</v>
      </c>
      <c r="BT35">
        <v>1.053812E-2</v>
      </c>
      <c r="BU35">
        <v>1.044958E-2</v>
      </c>
      <c r="BV35">
        <v>1.035986E-2</v>
      </c>
      <c r="BW35">
        <v>1.027049E-2</v>
      </c>
      <c r="BX35">
        <v>1.018954E-2</v>
      </c>
      <c r="BY35">
        <v>1.010925E-2</v>
      </c>
      <c r="BZ35">
        <v>1.0025910000000001E-2</v>
      </c>
      <c r="CA35">
        <v>9.9467800000000006E-3</v>
      </c>
      <c r="CB35">
        <v>9.8905499999999997E-3</v>
      </c>
      <c r="CC35">
        <v>9.8548799999999999E-3</v>
      </c>
      <c r="CD35">
        <v>9.8407500000000005E-3</v>
      </c>
      <c r="CE35">
        <v>9.8503199999999992E-3</v>
      </c>
      <c r="CF35">
        <v>9.8756899999999995E-3</v>
      </c>
      <c r="CG35">
        <v>9.8879799999999993E-3</v>
      </c>
      <c r="CH35">
        <v>9.8756299999999998E-3</v>
      </c>
      <c r="CI35">
        <v>9.8398800000000005E-3</v>
      </c>
      <c r="CJ35">
        <v>9.7791400000000004E-3</v>
      </c>
      <c r="CK35">
        <v>9.7102300000000003E-3</v>
      </c>
      <c r="CL35">
        <v>9.6453500000000005E-3</v>
      </c>
      <c r="CM35">
        <v>9.5767999999999999E-3</v>
      </c>
      <c r="CN35">
        <v>9.5114499999999994E-3</v>
      </c>
      <c r="CO35">
        <v>9.4464500000000003E-3</v>
      </c>
      <c r="CP35">
        <v>9.3760300000000005E-3</v>
      </c>
      <c r="CQ35">
        <v>9.3057999999999995E-3</v>
      </c>
      <c r="CR35">
        <v>9.2336799999999993E-3</v>
      </c>
      <c r="CS35">
        <v>9.1599000000000003E-3</v>
      </c>
      <c r="CT35">
        <v>9.0841700000000008E-3</v>
      </c>
      <c r="CU35">
        <v>9.00719E-3</v>
      </c>
      <c r="CV35">
        <v>8.9277699999999998E-3</v>
      </c>
      <c r="CW35">
        <v>8.8462499999999999E-3</v>
      </c>
      <c r="CX35">
        <v>8.7632000000000005E-3</v>
      </c>
    </row>
    <row r="36" spans="1:102">
      <c r="A36" t="s">
        <v>356</v>
      </c>
      <c r="B36">
        <v>3.3101579999999999E-2</v>
      </c>
      <c r="C36">
        <v>3.2611210000000002E-2</v>
      </c>
      <c r="D36">
        <v>3.2307629999999997E-2</v>
      </c>
      <c r="E36">
        <v>3.2075409999999999E-2</v>
      </c>
      <c r="F36">
        <v>3.1659989999999999E-2</v>
      </c>
      <c r="G36">
        <v>3.1308469999999998E-2</v>
      </c>
      <c r="H36">
        <v>3.0563739999999999E-2</v>
      </c>
      <c r="I36">
        <v>3.0165330000000001E-2</v>
      </c>
      <c r="J36">
        <v>2.967055E-2</v>
      </c>
      <c r="K36">
        <v>2.896866E-2</v>
      </c>
      <c r="L36">
        <v>2.8473829999999999E-2</v>
      </c>
      <c r="M36">
        <v>2.7917170000000002E-2</v>
      </c>
      <c r="N36">
        <v>2.7455480000000001E-2</v>
      </c>
      <c r="O36">
        <v>2.7017780000000002E-2</v>
      </c>
      <c r="P36">
        <v>2.661154E-2</v>
      </c>
      <c r="Q36">
        <v>2.6322350000000001E-2</v>
      </c>
      <c r="R36">
        <v>2.6091400000000001E-2</v>
      </c>
      <c r="S36">
        <v>2.6074070000000001E-2</v>
      </c>
      <c r="T36">
        <v>2.5872630000000001E-2</v>
      </c>
      <c r="U36">
        <v>2.5685429999999999E-2</v>
      </c>
      <c r="V36">
        <v>2.8503379999999998E-2</v>
      </c>
      <c r="W36">
        <v>3.102976E-2</v>
      </c>
      <c r="X36">
        <v>2.8918289999999999E-2</v>
      </c>
      <c r="Y36">
        <v>2.4610239999999999E-2</v>
      </c>
      <c r="Z36">
        <v>2.3970269999999998E-2</v>
      </c>
      <c r="AA36">
        <v>2.36776E-2</v>
      </c>
      <c r="AB36">
        <v>2.3467060000000001E-2</v>
      </c>
      <c r="AC36">
        <v>2.3221929999999998E-2</v>
      </c>
      <c r="AD36">
        <v>2.2905189999999999E-2</v>
      </c>
      <c r="AE36">
        <v>2.2523370000000001E-2</v>
      </c>
      <c r="AF36">
        <v>2.211509E-2</v>
      </c>
      <c r="AG36">
        <v>2.1706039999999999E-2</v>
      </c>
      <c r="AH36">
        <v>2.1364850000000001E-2</v>
      </c>
      <c r="AI36">
        <v>2.1100540000000001E-2</v>
      </c>
      <c r="AJ36">
        <v>2.0860110000000001E-2</v>
      </c>
      <c r="AK36">
        <v>2.0611910000000001E-2</v>
      </c>
      <c r="AL36">
        <v>2.0357110000000001E-2</v>
      </c>
      <c r="AM36">
        <v>2.0104509999999999E-2</v>
      </c>
      <c r="AN36">
        <v>1.9885420000000001E-2</v>
      </c>
      <c r="AO36">
        <v>1.970833E-2</v>
      </c>
      <c r="AP36">
        <v>1.9568680000000001E-2</v>
      </c>
      <c r="AQ36">
        <v>1.945419E-2</v>
      </c>
      <c r="AR36">
        <v>1.9349390000000001E-2</v>
      </c>
      <c r="AS36">
        <v>1.9256019999999999E-2</v>
      </c>
      <c r="AT36">
        <v>1.9144850000000001E-2</v>
      </c>
      <c r="AU36">
        <v>1.899381E-2</v>
      </c>
      <c r="AV36">
        <v>1.8810319999999998E-2</v>
      </c>
      <c r="AW36">
        <v>1.859939E-2</v>
      </c>
      <c r="AX36">
        <v>1.8384709999999999E-2</v>
      </c>
      <c r="AY36">
        <v>1.8191100000000002E-2</v>
      </c>
      <c r="AZ36">
        <v>1.8005500000000001E-2</v>
      </c>
      <c r="BA36">
        <v>1.7809729999999999E-2</v>
      </c>
      <c r="BB36">
        <v>1.7616960000000001E-2</v>
      </c>
      <c r="BC36">
        <v>1.7409129999999998E-2</v>
      </c>
      <c r="BD36">
        <v>1.718109E-2</v>
      </c>
      <c r="BE36">
        <v>1.696077E-2</v>
      </c>
      <c r="BF36">
        <v>1.6782999999999999E-2</v>
      </c>
      <c r="BG36">
        <v>1.666337E-2</v>
      </c>
      <c r="BH36">
        <v>1.6573540000000001E-2</v>
      </c>
      <c r="BI36">
        <v>1.6497439999999999E-2</v>
      </c>
      <c r="BJ36">
        <v>1.6458960000000002E-2</v>
      </c>
      <c r="BK36">
        <v>1.6416750000000001E-2</v>
      </c>
      <c r="BL36">
        <v>1.6331180000000001E-2</v>
      </c>
      <c r="BM36">
        <v>1.6242619999999999E-2</v>
      </c>
      <c r="BN36">
        <v>1.6157109999999999E-2</v>
      </c>
      <c r="BO36">
        <v>1.6063009999999999E-2</v>
      </c>
      <c r="BP36">
        <v>1.5967060000000002E-2</v>
      </c>
      <c r="BQ36">
        <v>1.58814E-2</v>
      </c>
      <c r="BR36">
        <v>1.5797950000000002E-2</v>
      </c>
      <c r="BS36">
        <v>1.570558E-2</v>
      </c>
      <c r="BT36">
        <v>1.5620240000000001E-2</v>
      </c>
      <c r="BU36">
        <v>1.5524080000000001E-2</v>
      </c>
      <c r="BV36">
        <v>1.5409290000000001E-2</v>
      </c>
      <c r="BW36">
        <v>1.528303E-2</v>
      </c>
      <c r="BX36">
        <v>1.5159509999999999E-2</v>
      </c>
      <c r="BY36">
        <v>1.503557E-2</v>
      </c>
      <c r="BZ36">
        <v>1.4916779999999999E-2</v>
      </c>
      <c r="CA36">
        <v>1.479629E-2</v>
      </c>
      <c r="CB36">
        <v>1.4684539999999999E-2</v>
      </c>
      <c r="CC36">
        <v>1.4577079999999999E-2</v>
      </c>
      <c r="CD36">
        <v>1.447293E-2</v>
      </c>
      <c r="CE36">
        <v>1.436523E-2</v>
      </c>
      <c r="CF36">
        <v>1.4261279999999999E-2</v>
      </c>
      <c r="CG36">
        <v>1.418612E-2</v>
      </c>
      <c r="CH36">
        <v>1.414296E-2</v>
      </c>
      <c r="CI36">
        <v>1.4132219999999999E-2</v>
      </c>
      <c r="CJ36">
        <v>1.415684E-2</v>
      </c>
      <c r="CK36">
        <v>1.4204329999999999E-2</v>
      </c>
      <c r="CL36">
        <v>1.423695E-2</v>
      </c>
      <c r="CM36">
        <v>1.422766E-2</v>
      </c>
      <c r="CN36">
        <v>1.418698E-2</v>
      </c>
      <c r="CO36">
        <v>1.411251E-2</v>
      </c>
      <c r="CP36">
        <v>1.40208E-2</v>
      </c>
      <c r="CQ36">
        <v>1.393281E-2</v>
      </c>
      <c r="CR36">
        <v>1.384608E-2</v>
      </c>
      <c r="CS36">
        <v>1.375973E-2</v>
      </c>
      <c r="CT36">
        <v>1.3671289999999999E-2</v>
      </c>
      <c r="CU36">
        <v>1.3582260000000001E-2</v>
      </c>
      <c r="CV36">
        <v>1.348895E-2</v>
      </c>
      <c r="CW36">
        <v>1.339277E-2</v>
      </c>
      <c r="CX36">
        <v>1.3293309999999999E-2</v>
      </c>
    </row>
    <row r="37" spans="1:102">
      <c r="A37" t="s">
        <v>357</v>
      </c>
      <c r="B37">
        <v>5.0051279999999997E-2</v>
      </c>
      <c r="C37">
        <v>4.938824E-2</v>
      </c>
      <c r="D37">
        <v>4.901577E-2</v>
      </c>
      <c r="E37">
        <v>4.8528099999999998E-2</v>
      </c>
      <c r="F37">
        <v>4.7651760000000001E-2</v>
      </c>
      <c r="G37">
        <v>4.7245410000000002E-2</v>
      </c>
      <c r="H37">
        <v>4.6221659999999998E-2</v>
      </c>
      <c r="I37">
        <v>4.5895030000000003E-2</v>
      </c>
      <c r="J37">
        <v>4.5534770000000002E-2</v>
      </c>
      <c r="K37">
        <v>4.4796280000000001E-2</v>
      </c>
      <c r="L37">
        <v>4.4214299999999998E-2</v>
      </c>
      <c r="M37">
        <v>4.3404850000000002E-2</v>
      </c>
      <c r="N37">
        <v>4.269618E-2</v>
      </c>
      <c r="O37">
        <v>4.1855070000000001E-2</v>
      </c>
      <c r="P37">
        <v>4.091583E-2</v>
      </c>
      <c r="Q37">
        <v>4.0330159999999997E-2</v>
      </c>
      <c r="R37">
        <v>3.9709630000000003E-2</v>
      </c>
      <c r="S37">
        <v>3.9507220000000003E-2</v>
      </c>
      <c r="T37">
        <v>3.8859949999999997E-2</v>
      </c>
      <c r="U37">
        <v>3.8633439999999998E-2</v>
      </c>
      <c r="V37">
        <v>4.2584780000000003E-2</v>
      </c>
      <c r="W37">
        <v>4.6274389999999999E-2</v>
      </c>
      <c r="X37">
        <v>4.3024920000000001E-2</v>
      </c>
      <c r="Y37">
        <v>3.7109339999999998E-2</v>
      </c>
      <c r="Z37">
        <v>3.6201169999999998E-2</v>
      </c>
      <c r="AA37">
        <v>3.5724199999999998E-2</v>
      </c>
      <c r="AB37">
        <v>3.5339759999999998E-2</v>
      </c>
      <c r="AC37">
        <v>3.4958879999999998E-2</v>
      </c>
      <c r="AD37">
        <v>3.456907E-2</v>
      </c>
      <c r="AE37">
        <v>3.4204180000000001E-2</v>
      </c>
      <c r="AF37">
        <v>3.3877480000000001E-2</v>
      </c>
      <c r="AG37">
        <v>3.3570879999999997E-2</v>
      </c>
      <c r="AH37">
        <v>3.3217749999999997E-2</v>
      </c>
      <c r="AI37">
        <v>3.276275E-2</v>
      </c>
      <c r="AJ37">
        <v>3.2251059999999998E-2</v>
      </c>
      <c r="AK37">
        <v>3.1716479999999998E-2</v>
      </c>
      <c r="AL37">
        <v>3.1186390000000001E-2</v>
      </c>
      <c r="AM37">
        <v>3.074383E-2</v>
      </c>
      <c r="AN37">
        <v>3.039124E-2</v>
      </c>
      <c r="AO37">
        <v>3.005913E-2</v>
      </c>
      <c r="AP37">
        <v>2.9722700000000001E-2</v>
      </c>
      <c r="AQ37">
        <v>2.9368729999999999E-2</v>
      </c>
      <c r="AR37">
        <v>2.902223E-2</v>
      </c>
      <c r="AS37">
        <v>2.873966E-2</v>
      </c>
      <c r="AT37">
        <v>2.8503790000000001E-2</v>
      </c>
      <c r="AU37">
        <v>2.8312380000000002E-2</v>
      </c>
      <c r="AV37">
        <v>2.8162320000000001E-2</v>
      </c>
      <c r="AW37">
        <v>2.8031159999999999E-2</v>
      </c>
      <c r="AX37">
        <v>2.79013E-2</v>
      </c>
      <c r="AY37">
        <v>2.7749030000000001E-2</v>
      </c>
      <c r="AZ37">
        <v>2.7556219999999999E-2</v>
      </c>
      <c r="BA37">
        <v>2.7305090000000001E-2</v>
      </c>
      <c r="BB37">
        <v>2.7014590000000002E-2</v>
      </c>
      <c r="BC37">
        <v>2.6726750000000001E-2</v>
      </c>
      <c r="BD37">
        <v>2.6464970000000001E-2</v>
      </c>
      <c r="BE37">
        <v>2.6212280000000001E-2</v>
      </c>
      <c r="BF37">
        <v>2.5952260000000001E-2</v>
      </c>
      <c r="BG37">
        <v>2.568353E-2</v>
      </c>
      <c r="BH37">
        <v>2.5401969999999999E-2</v>
      </c>
      <c r="BI37">
        <v>2.5089110000000001E-2</v>
      </c>
      <c r="BJ37">
        <v>2.4783510000000002E-2</v>
      </c>
      <c r="BK37">
        <v>2.454609E-2</v>
      </c>
      <c r="BL37">
        <v>2.4387740000000002E-2</v>
      </c>
      <c r="BM37">
        <v>2.4271000000000001E-2</v>
      </c>
      <c r="BN37">
        <v>2.418126E-2</v>
      </c>
      <c r="BO37">
        <v>2.4135480000000001E-2</v>
      </c>
      <c r="BP37">
        <v>2.4076529999999999E-2</v>
      </c>
      <c r="BQ37">
        <v>2.3970439999999999E-2</v>
      </c>
      <c r="BR37">
        <v>2.3854469999999999E-2</v>
      </c>
      <c r="BS37">
        <v>2.3732759999999999E-2</v>
      </c>
      <c r="BT37">
        <v>2.3610249999999999E-2</v>
      </c>
      <c r="BU37">
        <v>2.3476400000000001E-2</v>
      </c>
      <c r="BV37">
        <v>2.3354280000000002E-2</v>
      </c>
      <c r="BW37">
        <v>2.323238E-2</v>
      </c>
      <c r="BX37">
        <v>2.3109979999999999E-2</v>
      </c>
      <c r="BY37">
        <v>2.2982969999999998E-2</v>
      </c>
      <c r="BZ37">
        <v>2.2843789999999999E-2</v>
      </c>
      <c r="CA37">
        <v>2.267541E-2</v>
      </c>
      <c r="CB37">
        <v>2.2500840000000001E-2</v>
      </c>
      <c r="CC37">
        <v>2.2318770000000002E-2</v>
      </c>
      <c r="CD37">
        <v>2.2145359999999999E-2</v>
      </c>
      <c r="CE37">
        <v>2.1983200000000001E-2</v>
      </c>
      <c r="CF37">
        <v>2.1815230000000001E-2</v>
      </c>
      <c r="CG37">
        <v>2.1653789999999999E-2</v>
      </c>
      <c r="CH37">
        <v>2.1502830000000001E-2</v>
      </c>
      <c r="CI37">
        <v>2.1353819999999999E-2</v>
      </c>
      <c r="CJ37">
        <v>2.1200839999999999E-2</v>
      </c>
      <c r="CK37">
        <v>2.105694E-2</v>
      </c>
      <c r="CL37">
        <v>2.0962769999999999E-2</v>
      </c>
      <c r="CM37">
        <v>2.090618E-2</v>
      </c>
      <c r="CN37">
        <v>2.0901139999999999E-2</v>
      </c>
      <c r="CO37">
        <v>2.0951919999999999E-2</v>
      </c>
      <c r="CP37">
        <v>2.1027000000000001E-2</v>
      </c>
      <c r="CQ37">
        <v>2.10755E-2</v>
      </c>
      <c r="CR37">
        <v>2.1073049999999999E-2</v>
      </c>
      <c r="CS37">
        <v>2.102006E-2</v>
      </c>
      <c r="CT37">
        <v>2.0913029999999999E-2</v>
      </c>
      <c r="CU37">
        <v>2.079392E-2</v>
      </c>
      <c r="CV37">
        <v>2.0672929999999999E-2</v>
      </c>
      <c r="CW37">
        <v>2.0552669999999999E-2</v>
      </c>
      <c r="CX37">
        <v>2.0431410000000001E-2</v>
      </c>
    </row>
    <row r="38" spans="1:102">
      <c r="A38" t="s">
        <v>358</v>
      </c>
      <c r="B38">
        <v>7.5323200000000007E-2</v>
      </c>
      <c r="C38">
        <v>7.4356870000000005E-2</v>
      </c>
      <c r="D38">
        <v>7.3926309999999995E-2</v>
      </c>
      <c r="E38">
        <v>7.3739280000000004E-2</v>
      </c>
      <c r="F38">
        <v>7.2555099999999997E-2</v>
      </c>
      <c r="G38">
        <v>7.2130890000000003E-2</v>
      </c>
      <c r="H38">
        <v>7.0579749999999997E-2</v>
      </c>
      <c r="I38">
        <v>6.9954119999999995E-2</v>
      </c>
      <c r="J38">
        <v>6.9149989999999995E-2</v>
      </c>
      <c r="K38">
        <v>6.7817169999999996E-2</v>
      </c>
      <c r="L38">
        <v>6.6943710000000003E-2</v>
      </c>
      <c r="M38">
        <v>6.5882460000000004E-2</v>
      </c>
      <c r="N38">
        <v>6.5066239999999997E-2</v>
      </c>
      <c r="O38">
        <v>6.4135789999999998E-2</v>
      </c>
      <c r="P38">
        <v>6.3071489999999994E-2</v>
      </c>
      <c r="Q38">
        <v>6.233905E-2</v>
      </c>
      <c r="R38">
        <v>6.1375859999999997E-2</v>
      </c>
      <c r="S38">
        <v>6.0982880000000003E-2</v>
      </c>
      <c r="T38">
        <v>5.965649E-2</v>
      </c>
      <c r="U38">
        <v>5.8713269999999998E-2</v>
      </c>
      <c r="V38">
        <v>6.3847589999999996E-2</v>
      </c>
      <c r="W38">
        <v>6.8484920000000005E-2</v>
      </c>
      <c r="X38">
        <v>6.3715030000000006E-2</v>
      </c>
      <c r="Y38">
        <v>5.606481E-2</v>
      </c>
      <c r="Z38">
        <v>5.4708180000000002E-2</v>
      </c>
      <c r="AA38">
        <v>5.3934070000000001E-2</v>
      </c>
      <c r="AB38">
        <v>5.3311240000000003E-2</v>
      </c>
      <c r="AC38">
        <v>5.2822969999999997E-2</v>
      </c>
      <c r="AD38">
        <v>5.2419489999999999E-2</v>
      </c>
      <c r="AE38">
        <v>5.1977080000000002E-2</v>
      </c>
      <c r="AF38">
        <v>5.1449269999999998E-2</v>
      </c>
      <c r="AG38">
        <v>5.0937839999999998E-2</v>
      </c>
      <c r="AH38">
        <v>5.0430429999999998E-2</v>
      </c>
      <c r="AI38">
        <v>4.9887849999999997E-2</v>
      </c>
      <c r="AJ38">
        <v>4.9401390000000003E-2</v>
      </c>
      <c r="AK38">
        <v>4.8959549999999998E-2</v>
      </c>
      <c r="AL38">
        <v>4.8529210000000003E-2</v>
      </c>
      <c r="AM38">
        <v>4.8029080000000002E-2</v>
      </c>
      <c r="AN38">
        <v>4.7386560000000001E-2</v>
      </c>
      <c r="AO38">
        <v>4.6674920000000002E-2</v>
      </c>
      <c r="AP38">
        <v>4.5972569999999997E-2</v>
      </c>
      <c r="AQ38">
        <v>4.5289210000000003E-2</v>
      </c>
      <c r="AR38">
        <v>4.4716480000000003E-2</v>
      </c>
      <c r="AS38">
        <v>4.4257560000000001E-2</v>
      </c>
      <c r="AT38">
        <v>4.3803729999999999E-2</v>
      </c>
      <c r="AU38">
        <v>4.333745E-2</v>
      </c>
      <c r="AV38">
        <v>4.2858250000000001E-2</v>
      </c>
      <c r="AW38">
        <v>4.241267E-2</v>
      </c>
      <c r="AX38">
        <v>4.2035099999999999E-2</v>
      </c>
      <c r="AY38">
        <v>4.1726520000000003E-2</v>
      </c>
      <c r="AZ38">
        <v>4.1500450000000001E-2</v>
      </c>
      <c r="BA38">
        <v>4.1312349999999998E-2</v>
      </c>
      <c r="BB38">
        <v>4.1139670000000003E-2</v>
      </c>
      <c r="BC38">
        <v>4.0972969999999997E-2</v>
      </c>
      <c r="BD38">
        <v>4.0760280000000003E-2</v>
      </c>
      <c r="BE38">
        <v>4.0490190000000002E-2</v>
      </c>
      <c r="BF38">
        <v>4.0154040000000002E-2</v>
      </c>
      <c r="BG38">
        <v>3.9754379999999999E-2</v>
      </c>
      <c r="BH38">
        <v>3.9371080000000003E-2</v>
      </c>
      <c r="BI38">
        <v>3.9018829999999997E-2</v>
      </c>
      <c r="BJ38">
        <v>3.8669009999999997E-2</v>
      </c>
      <c r="BK38">
        <v>3.8317089999999998E-2</v>
      </c>
      <c r="BL38">
        <v>3.7939399999999998E-2</v>
      </c>
      <c r="BM38">
        <v>3.7544429999999997E-2</v>
      </c>
      <c r="BN38">
        <v>3.7124560000000001E-2</v>
      </c>
      <c r="BO38">
        <v>3.670793E-2</v>
      </c>
      <c r="BP38">
        <v>3.6376810000000002E-2</v>
      </c>
      <c r="BQ38">
        <v>3.6173139999999999E-2</v>
      </c>
      <c r="BR38">
        <v>3.602139E-2</v>
      </c>
      <c r="BS38">
        <v>3.5889829999999998E-2</v>
      </c>
      <c r="BT38">
        <v>3.5830889999999997E-2</v>
      </c>
      <c r="BU38">
        <v>3.5737570000000003E-2</v>
      </c>
      <c r="BV38">
        <v>3.5577129999999998E-2</v>
      </c>
      <c r="BW38">
        <v>3.5402219999999998E-2</v>
      </c>
      <c r="BX38">
        <v>3.5238749999999999E-2</v>
      </c>
      <c r="BY38">
        <v>3.5051779999999998E-2</v>
      </c>
      <c r="BZ38">
        <v>3.4859689999999999E-2</v>
      </c>
      <c r="CA38">
        <v>3.4688539999999997E-2</v>
      </c>
      <c r="CB38">
        <v>3.4532100000000003E-2</v>
      </c>
      <c r="CC38">
        <v>3.4356610000000003E-2</v>
      </c>
      <c r="CD38">
        <v>3.4186319999999999E-2</v>
      </c>
      <c r="CE38">
        <v>3.4000019999999999E-2</v>
      </c>
      <c r="CF38">
        <v>3.376444E-2</v>
      </c>
      <c r="CG38">
        <v>3.3508789999999997E-2</v>
      </c>
      <c r="CH38">
        <v>3.3251910000000003E-2</v>
      </c>
      <c r="CI38">
        <v>3.3003520000000001E-2</v>
      </c>
      <c r="CJ38">
        <v>3.277298E-2</v>
      </c>
      <c r="CK38">
        <v>3.2540529999999998E-2</v>
      </c>
      <c r="CL38">
        <v>3.2329089999999998E-2</v>
      </c>
      <c r="CM38">
        <v>3.2115749999999998E-2</v>
      </c>
      <c r="CN38">
        <v>3.1911410000000001E-2</v>
      </c>
      <c r="CO38">
        <v>3.1708939999999998E-2</v>
      </c>
      <c r="CP38">
        <v>3.1505610000000003E-2</v>
      </c>
      <c r="CQ38">
        <v>3.136705E-2</v>
      </c>
      <c r="CR38">
        <v>3.1299199999999999E-2</v>
      </c>
      <c r="CS38">
        <v>3.1301910000000002E-2</v>
      </c>
      <c r="CT38">
        <v>3.1375559999999997E-2</v>
      </c>
      <c r="CU38">
        <v>3.1500930000000003E-2</v>
      </c>
      <c r="CV38">
        <v>3.1573959999999998E-2</v>
      </c>
      <c r="CW38">
        <v>3.1571679999999998E-2</v>
      </c>
      <c r="CX38">
        <v>3.1495750000000003E-2</v>
      </c>
    </row>
    <row r="39" spans="1:102">
      <c r="A39" t="s">
        <v>359</v>
      </c>
      <c r="B39">
        <v>0.11922531</v>
      </c>
      <c r="C39">
        <v>0.11718654000000001</v>
      </c>
      <c r="D39">
        <v>0.1161509</v>
      </c>
      <c r="E39">
        <v>0.1154147</v>
      </c>
      <c r="F39">
        <v>0.11302888</v>
      </c>
      <c r="G39">
        <v>0.11245316</v>
      </c>
      <c r="H39">
        <v>0.11020039</v>
      </c>
      <c r="I39">
        <v>0.10950488</v>
      </c>
      <c r="J39">
        <v>0.10851846</v>
      </c>
      <c r="K39">
        <v>0.10643376</v>
      </c>
      <c r="L39">
        <v>0.10503132</v>
      </c>
      <c r="M39">
        <v>0.10324741</v>
      </c>
      <c r="N39">
        <v>0.10209952999999999</v>
      </c>
      <c r="O39">
        <v>0.10039339999999999</v>
      </c>
      <c r="P39">
        <v>9.8444080000000003E-2</v>
      </c>
      <c r="Q39">
        <v>9.7763649999999994E-2</v>
      </c>
      <c r="R39">
        <v>9.6118670000000003E-2</v>
      </c>
      <c r="S39">
        <v>9.6062229999999998E-2</v>
      </c>
      <c r="T39">
        <v>9.4181260000000003E-2</v>
      </c>
      <c r="U39">
        <v>9.3072470000000004E-2</v>
      </c>
      <c r="V39">
        <v>0.10201</v>
      </c>
      <c r="W39">
        <v>0.10835945</v>
      </c>
      <c r="X39">
        <v>0.1013271</v>
      </c>
      <c r="Y39">
        <v>8.9314389999999994E-2</v>
      </c>
      <c r="Z39">
        <v>8.7253440000000002E-2</v>
      </c>
      <c r="AA39">
        <v>8.6229799999999995E-2</v>
      </c>
      <c r="AB39">
        <v>8.532178E-2</v>
      </c>
      <c r="AC39">
        <v>8.425436E-2</v>
      </c>
      <c r="AD39">
        <v>8.3213789999999996E-2</v>
      </c>
      <c r="AE39">
        <v>8.2246479999999997E-2</v>
      </c>
      <c r="AF39">
        <v>8.1312170000000003E-2</v>
      </c>
      <c r="AG39">
        <v>8.0477629999999994E-2</v>
      </c>
      <c r="AH39">
        <v>7.9839179999999996E-2</v>
      </c>
      <c r="AI39">
        <v>7.929638E-2</v>
      </c>
      <c r="AJ39">
        <v>7.8717759999999998E-2</v>
      </c>
      <c r="AK39">
        <v>7.8008999999999995E-2</v>
      </c>
      <c r="AL39">
        <v>7.7293130000000002E-2</v>
      </c>
      <c r="AM39">
        <v>7.6587340000000004E-2</v>
      </c>
      <c r="AN39">
        <v>7.5826400000000002E-2</v>
      </c>
      <c r="AO39">
        <v>7.5099029999999997E-2</v>
      </c>
      <c r="AP39">
        <v>7.4425610000000003E-2</v>
      </c>
      <c r="AQ39">
        <v>7.3739139999999995E-2</v>
      </c>
      <c r="AR39">
        <v>7.2971679999999997E-2</v>
      </c>
      <c r="AS39">
        <v>7.2096720000000003E-2</v>
      </c>
      <c r="AT39">
        <v>7.1183919999999998E-2</v>
      </c>
      <c r="AU39">
        <v>7.0316379999999998E-2</v>
      </c>
      <c r="AV39">
        <v>6.9508340000000002E-2</v>
      </c>
      <c r="AW39">
        <v>6.8814009999999995E-2</v>
      </c>
      <c r="AX39">
        <v>6.8154619999999999E-2</v>
      </c>
      <c r="AY39">
        <v>6.7510310000000004E-2</v>
      </c>
      <c r="AZ39">
        <v>6.6883219999999993E-2</v>
      </c>
      <c r="BA39">
        <v>6.6219910000000007E-2</v>
      </c>
      <c r="BB39">
        <v>6.5600409999999998E-2</v>
      </c>
      <c r="BC39">
        <v>6.5081819999999999E-2</v>
      </c>
      <c r="BD39">
        <v>6.4607319999999996E-2</v>
      </c>
      <c r="BE39">
        <v>6.4246449999999997E-2</v>
      </c>
      <c r="BF39">
        <v>6.3938159999999994E-2</v>
      </c>
      <c r="BG39">
        <v>6.3628030000000002E-2</v>
      </c>
      <c r="BH39">
        <v>6.3323119999999997E-2</v>
      </c>
      <c r="BI39">
        <v>6.2955150000000001E-2</v>
      </c>
      <c r="BJ39">
        <v>6.2509889999999999E-2</v>
      </c>
      <c r="BK39">
        <v>6.2016950000000001E-2</v>
      </c>
      <c r="BL39">
        <v>6.1444289999999999E-2</v>
      </c>
      <c r="BM39">
        <v>6.0903069999999997E-2</v>
      </c>
      <c r="BN39">
        <v>6.0413849999999998E-2</v>
      </c>
      <c r="BO39">
        <v>5.9914889999999998E-2</v>
      </c>
      <c r="BP39">
        <v>5.9402719999999999E-2</v>
      </c>
      <c r="BQ39">
        <v>5.8872960000000002E-2</v>
      </c>
      <c r="BR39">
        <v>5.8318670000000003E-2</v>
      </c>
      <c r="BS39">
        <v>5.7723200000000002E-2</v>
      </c>
      <c r="BT39">
        <v>5.7158489999999999E-2</v>
      </c>
      <c r="BU39">
        <v>5.6662659999999997E-2</v>
      </c>
      <c r="BV39">
        <v>5.631067E-2</v>
      </c>
      <c r="BW39">
        <v>5.602447E-2</v>
      </c>
      <c r="BX39">
        <v>5.5786080000000002E-2</v>
      </c>
      <c r="BY39">
        <v>5.5593200000000002E-2</v>
      </c>
      <c r="BZ39">
        <v>5.5372860000000003E-2</v>
      </c>
      <c r="CA39">
        <v>5.5097989999999999E-2</v>
      </c>
      <c r="CB39">
        <v>5.4821969999999998E-2</v>
      </c>
      <c r="CC39">
        <v>5.4538290000000003E-2</v>
      </c>
      <c r="CD39">
        <v>5.4246120000000002E-2</v>
      </c>
      <c r="CE39">
        <v>5.3960859999999999E-2</v>
      </c>
      <c r="CF39">
        <v>5.3691040000000002E-2</v>
      </c>
      <c r="CG39">
        <v>5.3421709999999997E-2</v>
      </c>
      <c r="CH39">
        <v>5.314257E-2</v>
      </c>
      <c r="CI39">
        <v>5.2857059999999997E-2</v>
      </c>
      <c r="CJ39">
        <v>5.2548709999999998E-2</v>
      </c>
      <c r="CK39">
        <v>5.2188529999999997E-2</v>
      </c>
      <c r="CL39">
        <v>5.1821119999999998E-2</v>
      </c>
      <c r="CM39">
        <v>5.1425289999999999E-2</v>
      </c>
      <c r="CN39">
        <v>5.1055620000000003E-2</v>
      </c>
      <c r="CO39">
        <v>5.0720210000000002E-2</v>
      </c>
      <c r="CP39">
        <v>5.0366279999999999E-2</v>
      </c>
      <c r="CQ39">
        <v>5.0033550000000003E-2</v>
      </c>
      <c r="CR39">
        <v>4.971561E-2</v>
      </c>
      <c r="CS39">
        <v>4.94058E-2</v>
      </c>
      <c r="CT39">
        <v>4.9088039999999999E-2</v>
      </c>
      <c r="CU39">
        <v>4.8797420000000001E-2</v>
      </c>
      <c r="CV39">
        <v>4.8574300000000001E-2</v>
      </c>
      <c r="CW39">
        <v>4.8451090000000002E-2</v>
      </c>
      <c r="CX39">
        <v>4.8421640000000002E-2</v>
      </c>
    </row>
    <row r="40" spans="1:102">
      <c r="A40" t="s">
        <v>360</v>
      </c>
      <c r="B40">
        <v>0.18239818999999999</v>
      </c>
      <c r="C40">
        <v>0.18022489</v>
      </c>
      <c r="D40">
        <v>0.18002013</v>
      </c>
      <c r="E40">
        <v>0.17996676</v>
      </c>
      <c r="F40">
        <v>0.17629749</v>
      </c>
      <c r="G40">
        <v>0.17650564999999999</v>
      </c>
      <c r="H40">
        <v>0.17243847000000001</v>
      </c>
      <c r="I40">
        <v>0.17124271999999999</v>
      </c>
      <c r="J40">
        <v>0.16934815</v>
      </c>
      <c r="K40">
        <v>0.16620387</v>
      </c>
      <c r="L40">
        <v>0.16398096000000001</v>
      </c>
      <c r="M40">
        <v>0.16133027</v>
      </c>
      <c r="N40">
        <v>0.15972431000000001</v>
      </c>
      <c r="O40">
        <v>0.15695803</v>
      </c>
      <c r="P40">
        <v>0.15337751999999999</v>
      </c>
      <c r="Q40">
        <v>0.15268588999999999</v>
      </c>
      <c r="R40">
        <v>0.15002118</v>
      </c>
      <c r="S40">
        <v>0.15052586000000001</v>
      </c>
      <c r="T40">
        <v>0.14718157000000001</v>
      </c>
      <c r="U40">
        <v>0.14494546</v>
      </c>
      <c r="V40">
        <v>0.1607044</v>
      </c>
      <c r="W40">
        <v>0.16783744</v>
      </c>
      <c r="X40">
        <v>0.15715535999999999</v>
      </c>
      <c r="Y40">
        <v>0.14159637</v>
      </c>
      <c r="Z40">
        <v>0.13903535</v>
      </c>
      <c r="AA40">
        <v>0.13755695000000001</v>
      </c>
      <c r="AB40">
        <v>0.13627259</v>
      </c>
      <c r="AC40">
        <v>0.13496138999999999</v>
      </c>
      <c r="AD40">
        <v>0.13354567000000001</v>
      </c>
      <c r="AE40">
        <v>0.13219494000000001</v>
      </c>
      <c r="AF40">
        <v>0.13107113000000001</v>
      </c>
      <c r="AG40">
        <v>0.12986365999999999</v>
      </c>
      <c r="AH40">
        <v>0.12843108</v>
      </c>
      <c r="AI40">
        <v>0.12702034000000001</v>
      </c>
      <c r="AJ40">
        <v>0.12575749999999999</v>
      </c>
      <c r="AK40">
        <v>0.12462917</v>
      </c>
      <c r="AL40">
        <v>0.12359253000000001</v>
      </c>
      <c r="AM40">
        <v>0.12277639</v>
      </c>
      <c r="AN40">
        <v>0.12208738</v>
      </c>
      <c r="AO40">
        <v>0.12128861000000001</v>
      </c>
      <c r="AP40">
        <v>0.12033228999999999</v>
      </c>
      <c r="AQ40">
        <v>0.11934662</v>
      </c>
      <c r="AR40">
        <v>0.11836772</v>
      </c>
      <c r="AS40">
        <v>0.11732960000000001</v>
      </c>
      <c r="AT40">
        <v>0.11627782</v>
      </c>
      <c r="AU40">
        <v>0.11523794</v>
      </c>
      <c r="AV40">
        <v>0.11421178</v>
      </c>
      <c r="AW40">
        <v>0.11317267</v>
      </c>
      <c r="AX40">
        <v>0.11204252000000001</v>
      </c>
      <c r="AY40">
        <v>0.11097050999999999</v>
      </c>
      <c r="AZ40">
        <v>0.11001039999999999</v>
      </c>
      <c r="BA40">
        <v>0.10913747</v>
      </c>
      <c r="BB40">
        <v>0.10831454</v>
      </c>
      <c r="BC40">
        <v>0.10747194</v>
      </c>
      <c r="BD40">
        <v>0.10656341</v>
      </c>
      <c r="BE40">
        <v>0.10571216999999999</v>
      </c>
      <c r="BF40">
        <v>0.10480459</v>
      </c>
      <c r="BG40">
        <v>0.10395317</v>
      </c>
      <c r="BH40">
        <v>0.10320176</v>
      </c>
      <c r="BI40">
        <v>0.1024854</v>
      </c>
      <c r="BJ40">
        <v>0.10186391</v>
      </c>
      <c r="BK40">
        <v>0.10134000999999999</v>
      </c>
      <c r="BL40">
        <v>0.10078252</v>
      </c>
      <c r="BM40">
        <v>0.10021391</v>
      </c>
      <c r="BN40">
        <v>9.9580100000000005E-2</v>
      </c>
      <c r="BO40">
        <v>9.8860299999999998E-2</v>
      </c>
      <c r="BP40">
        <v>9.8108580000000001E-2</v>
      </c>
      <c r="BQ40">
        <v>9.7309389999999996E-2</v>
      </c>
      <c r="BR40">
        <v>9.6538310000000002E-2</v>
      </c>
      <c r="BS40">
        <v>9.5805979999999999E-2</v>
      </c>
      <c r="BT40">
        <v>9.5109070000000004E-2</v>
      </c>
      <c r="BU40">
        <v>9.4315720000000006E-2</v>
      </c>
      <c r="BV40">
        <v>9.3479359999999997E-2</v>
      </c>
      <c r="BW40">
        <v>9.2639360000000004E-2</v>
      </c>
      <c r="BX40">
        <v>9.1790339999999998E-2</v>
      </c>
      <c r="BY40">
        <v>9.0918589999999994E-2</v>
      </c>
      <c r="BZ40">
        <v>9.0130150000000006E-2</v>
      </c>
      <c r="CA40">
        <v>8.9547989999999994E-2</v>
      </c>
      <c r="CB40">
        <v>8.9039320000000005E-2</v>
      </c>
      <c r="CC40">
        <v>8.8561210000000001E-2</v>
      </c>
      <c r="CD40">
        <v>8.8146459999999996E-2</v>
      </c>
      <c r="CE40">
        <v>8.7727040000000006E-2</v>
      </c>
      <c r="CF40">
        <v>8.7229360000000006E-2</v>
      </c>
      <c r="CG40">
        <v>8.6703829999999996E-2</v>
      </c>
      <c r="CH40">
        <v>8.6201630000000001E-2</v>
      </c>
      <c r="CI40">
        <v>8.5667400000000005E-2</v>
      </c>
      <c r="CJ40">
        <v>8.5151089999999999E-2</v>
      </c>
      <c r="CK40">
        <v>8.4676639999999997E-2</v>
      </c>
      <c r="CL40">
        <v>8.4228730000000002E-2</v>
      </c>
      <c r="CM40">
        <v>8.371787E-2</v>
      </c>
      <c r="CN40">
        <v>8.322396E-2</v>
      </c>
      <c r="CO40">
        <v>8.2700510000000005E-2</v>
      </c>
      <c r="CP40">
        <v>8.2089910000000002E-2</v>
      </c>
      <c r="CQ40">
        <v>8.1471279999999993E-2</v>
      </c>
      <c r="CR40">
        <v>8.0836930000000001E-2</v>
      </c>
      <c r="CS40">
        <v>8.0232349999999994E-2</v>
      </c>
      <c r="CT40">
        <v>7.9667109999999999E-2</v>
      </c>
      <c r="CU40">
        <v>7.9129770000000002E-2</v>
      </c>
      <c r="CV40">
        <v>7.8577019999999997E-2</v>
      </c>
      <c r="CW40">
        <v>7.8051560000000006E-2</v>
      </c>
      <c r="CX40">
        <v>7.7530559999999998E-2</v>
      </c>
    </row>
    <row r="41" spans="1:102">
      <c r="A41" t="s">
        <v>361</v>
      </c>
      <c r="B41">
        <v>0.27117755999999998</v>
      </c>
      <c r="C41">
        <v>0.26844667</v>
      </c>
      <c r="D41">
        <v>0.26877448999999998</v>
      </c>
      <c r="E41">
        <v>0.27034298000000001</v>
      </c>
      <c r="F41">
        <v>0.26343585000000003</v>
      </c>
      <c r="G41">
        <v>0.26603768</v>
      </c>
      <c r="H41">
        <v>0.26114482</v>
      </c>
      <c r="I41">
        <v>0.26039037999999998</v>
      </c>
      <c r="J41">
        <v>0.26026221999999999</v>
      </c>
      <c r="K41">
        <v>0.25516952999999998</v>
      </c>
      <c r="L41">
        <v>0.25404040999999999</v>
      </c>
      <c r="M41">
        <v>0.24994452</v>
      </c>
      <c r="N41">
        <v>0.24836382000000001</v>
      </c>
      <c r="O41">
        <v>0.24356084</v>
      </c>
      <c r="P41">
        <v>0.23831910000000001</v>
      </c>
      <c r="Q41">
        <v>0.23883575000000001</v>
      </c>
      <c r="R41">
        <v>0.23359571000000001</v>
      </c>
      <c r="S41">
        <v>0.23390163</v>
      </c>
      <c r="T41">
        <v>0.22752221</v>
      </c>
      <c r="U41">
        <v>0.22152873000000001</v>
      </c>
      <c r="V41">
        <v>0.23769626999999999</v>
      </c>
      <c r="W41">
        <v>0.24299936999999999</v>
      </c>
      <c r="X41">
        <v>0.23421047</v>
      </c>
      <c r="Y41">
        <v>0.22048860000000001</v>
      </c>
      <c r="Z41">
        <v>0.21786522999999999</v>
      </c>
      <c r="AA41">
        <v>0.21648725999999999</v>
      </c>
      <c r="AB41">
        <v>0.21508695999999999</v>
      </c>
      <c r="AC41">
        <v>0.21365972999999999</v>
      </c>
      <c r="AD41">
        <v>0.21225284999999999</v>
      </c>
      <c r="AE41">
        <v>0.21073778000000001</v>
      </c>
      <c r="AF41">
        <v>0.20907049</v>
      </c>
      <c r="AG41">
        <v>0.20749902000000001</v>
      </c>
      <c r="AH41">
        <v>0.20599607</v>
      </c>
      <c r="AI41">
        <v>0.20433235</v>
      </c>
      <c r="AJ41">
        <v>0.20282022999999999</v>
      </c>
      <c r="AK41">
        <v>0.20166290000000001</v>
      </c>
      <c r="AL41">
        <v>0.20025047000000001</v>
      </c>
      <c r="AM41">
        <v>0.19855313999999999</v>
      </c>
      <c r="AN41">
        <v>0.19695797000000001</v>
      </c>
      <c r="AO41">
        <v>0.19552739999999999</v>
      </c>
      <c r="AP41">
        <v>0.19439411000000001</v>
      </c>
      <c r="AQ41">
        <v>0.19319089</v>
      </c>
      <c r="AR41">
        <v>0.19216052</v>
      </c>
      <c r="AS41">
        <v>0.19135922999999999</v>
      </c>
      <c r="AT41">
        <v>0.19039919</v>
      </c>
      <c r="AU41">
        <v>0.18922726000000001</v>
      </c>
      <c r="AV41">
        <v>0.18799716999999999</v>
      </c>
      <c r="AW41">
        <v>0.18679535</v>
      </c>
      <c r="AX41">
        <v>0.18539805000000001</v>
      </c>
      <c r="AY41">
        <v>0.18395358000000001</v>
      </c>
      <c r="AZ41">
        <v>0.18244089999999999</v>
      </c>
      <c r="BA41">
        <v>0.18091093999999999</v>
      </c>
      <c r="BB41">
        <v>0.17950002000000001</v>
      </c>
      <c r="BC41">
        <v>0.17831131</v>
      </c>
      <c r="BD41">
        <v>0.17727103999999999</v>
      </c>
      <c r="BE41">
        <v>0.17653448999999999</v>
      </c>
      <c r="BF41">
        <v>0.17590099000000001</v>
      </c>
      <c r="BG41">
        <v>0.17511386000000001</v>
      </c>
      <c r="BH41">
        <v>0.17396856999999999</v>
      </c>
      <c r="BI41">
        <v>0.17272097</v>
      </c>
      <c r="BJ41">
        <v>0.17151180999999999</v>
      </c>
      <c r="BK41">
        <v>0.1703162</v>
      </c>
      <c r="BL41">
        <v>0.16919997000000001</v>
      </c>
      <c r="BM41">
        <v>0.16814339</v>
      </c>
      <c r="BN41">
        <v>0.16702048</v>
      </c>
      <c r="BO41">
        <v>0.16592224</v>
      </c>
      <c r="BP41">
        <v>0.16494110000000001</v>
      </c>
      <c r="BQ41">
        <v>0.16391492999999999</v>
      </c>
      <c r="BR41">
        <v>0.16280655999999999</v>
      </c>
      <c r="BS41">
        <v>0.16163496999999999</v>
      </c>
      <c r="BT41">
        <v>0.16051542999999999</v>
      </c>
      <c r="BU41">
        <v>0.15926905</v>
      </c>
      <c r="BV41">
        <v>0.15804786000000001</v>
      </c>
      <c r="BW41">
        <v>0.15694380999999999</v>
      </c>
      <c r="BX41">
        <v>0.15586965999999999</v>
      </c>
      <c r="BY41">
        <v>0.15475628</v>
      </c>
      <c r="BZ41">
        <v>0.15353591</v>
      </c>
      <c r="CA41">
        <v>0.15236388000000001</v>
      </c>
      <c r="CB41">
        <v>0.15119179999999999</v>
      </c>
      <c r="CC41">
        <v>0.15004298999999999</v>
      </c>
      <c r="CD41">
        <v>0.14886657</v>
      </c>
      <c r="CE41">
        <v>0.14780122000000001</v>
      </c>
      <c r="CF41">
        <v>0.14684177000000001</v>
      </c>
      <c r="CG41">
        <v>0.14585881000000001</v>
      </c>
      <c r="CH41">
        <v>0.14495499000000001</v>
      </c>
      <c r="CI41">
        <v>0.14401428999999999</v>
      </c>
      <c r="CJ41">
        <v>0.14308650000000001</v>
      </c>
      <c r="CK41">
        <v>0.14217525</v>
      </c>
      <c r="CL41">
        <v>0.14128565000000001</v>
      </c>
      <c r="CM41">
        <v>0.14034098</v>
      </c>
      <c r="CN41">
        <v>0.13943269999999999</v>
      </c>
      <c r="CO41">
        <v>0.13854208000000001</v>
      </c>
      <c r="CP41">
        <v>0.13766824</v>
      </c>
      <c r="CQ41">
        <v>0.13684697000000001</v>
      </c>
      <c r="CR41">
        <v>0.13595339000000001</v>
      </c>
      <c r="CS41">
        <v>0.13505223999999999</v>
      </c>
      <c r="CT41">
        <v>0.1341318</v>
      </c>
      <c r="CU41">
        <v>0.13319600000000001</v>
      </c>
      <c r="CV41">
        <v>0.13217944000000001</v>
      </c>
      <c r="CW41">
        <v>0.13118795999999999</v>
      </c>
      <c r="CX41">
        <v>0.13022096999999999</v>
      </c>
    </row>
    <row r="42" spans="1:102">
      <c r="A42" t="s">
        <v>362</v>
      </c>
      <c r="B42">
        <v>0.37421031999999999</v>
      </c>
      <c r="C42">
        <v>0.37198071999999999</v>
      </c>
      <c r="D42">
        <v>0.37398166999999999</v>
      </c>
      <c r="E42">
        <v>0.37700569</v>
      </c>
      <c r="F42">
        <v>0.36975255000000001</v>
      </c>
      <c r="G42">
        <v>0.37427390999999999</v>
      </c>
      <c r="H42">
        <v>0.36815361000000002</v>
      </c>
      <c r="I42">
        <v>0.36765763000000001</v>
      </c>
      <c r="J42">
        <v>0.37064781000000002</v>
      </c>
      <c r="K42">
        <v>0.36451291000000002</v>
      </c>
      <c r="L42">
        <v>0.36405163000000001</v>
      </c>
      <c r="M42">
        <v>0.36087042000000003</v>
      </c>
      <c r="N42">
        <v>0.36081625000000001</v>
      </c>
      <c r="O42">
        <v>0.35449481999999999</v>
      </c>
      <c r="P42">
        <v>0.34940739999999998</v>
      </c>
      <c r="Q42">
        <v>0.35030879999999998</v>
      </c>
      <c r="R42">
        <v>0.34330946000000001</v>
      </c>
      <c r="S42">
        <v>0.34436271000000002</v>
      </c>
      <c r="T42">
        <v>0.33526749</v>
      </c>
      <c r="U42">
        <v>0.32524587999999999</v>
      </c>
      <c r="V42">
        <v>0.34127555999999998</v>
      </c>
      <c r="W42">
        <v>0.34735494</v>
      </c>
      <c r="X42">
        <v>0.34252072</v>
      </c>
      <c r="Y42">
        <v>0.33036512000000001</v>
      </c>
      <c r="Z42">
        <v>0.326988</v>
      </c>
      <c r="AA42">
        <v>0.32508909000000002</v>
      </c>
      <c r="AB42">
        <v>0.32357952000000001</v>
      </c>
      <c r="AC42">
        <v>0.32231048000000001</v>
      </c>
      <c r="AD42">
        <v>0.32129242000000002</v>
      </c>
      <c r="AE42">
        <v>0.32039640000000003</v>
      </c>
      <c r="AF42">
        <v>0.31936787999999999</v>
      </c>
      <c r="AG42">
        <v>0.31808937999999998</v>
      </c>
      <c r="AH42">
        <v>0.3167644</v>
      </c>
      <c r="AI42">
        <v>0.31537977</v>
      </c>
      <c r="AJ42">
        <v>0.31384709</v>
      </c>
      <c r="AK42">
        <v>0.31229880999999998</v>
      </c>
      <c r="AL42">
        <v>0.31091702999999998</v>
      </c>
      <c r="AM42">
        <v>0.30969353999999999</v>
      </c>
      <c r="AN42">
        <v>0.30840094000000001</v>
      </c>
      <c r="AO42">
        <v>0.30723555000000002</v>
      </c>
      <c r="AP42">
        <v>0.30649179999999998</v>
      </c>
      <c r="AQ42">
        <v>0.30535143999999997</v>
      </c>
      <c r="AR42">
        <v>0.30383173000000002</v>
      </c>
      <c r="AS42">
        <v>0.30242256000000001</v>
      </c>
      <c r="AT42">
        <v>0.30120689</v>
      </c>
      <c r="AU42">
        <v>0.30046231000000001</v>
      </c>
      <c r="AV42">
        <v>0.29971040999999998</v>
      </c>
      <c r="AW42">
        <v>0.29915006999999999</v>
      </c>
      <c r="AX42">
        <v>0.29868391</v>
      </c>
      <c r="AY42">
        <v>0.29806370999999998</v>
      </c>
      <c r="AZ42">
        <v>0.29718593999999998</v>
      </c>
      <c r="BA42">
        <v>0.29607686</v>
      </c>
      <c r="BB42">
        <v>0.29492393</v>
      </c>
      <c r="BC42">
        <v>0.29358844000000001</v>
      </c>
      <c r="BD42">
        <v>0.29152322000000003</v>
      </c>
      <c r="BE42">
        <v>0.28931083000000002</v>
      </c>
      <c r="BF42">
        <v>0.28702892000000002</v>
      </c>
      <c r="BG42">
        <v>0.28564666999999999</v>
      </c>
      <c r="BH42">
        <v>0.28542685000000001</v>
      </c>
      <c r="BI42">
        <v>0.28567980999999998</v>
      </c>
      <c r="BJ42">
        <v>0.28600025000000001</v>
      </c>
      <c r="BK42">
        <v>0.28631580000000001</v>
      </c>
      <c r="BL42">
        <v>0.28585064999999998</v>
      </c>
      <c r="BM42">
        <v>0.28461905999999998</v>
      </c>
      <c r="BN42">
        <v>0.28331408000000002</v>
      </c>
      <c r="BO42">
        <v>0.28202430000000001</v>
      </c>
      <c r="BP42">
        <v>0.28082001000000001</v>
      </c>
      <c r="BQ42">
        <v>0.27959307</v>
      </c>
      <c r="BR42">
        <v>0.27814863000000001</v>
      </c>
      <c r="BS42">
        <v>0.27650225</v>
      </c>
      <c r="BT42">
        <v>0.27484792000000002</v>
      </c>
      <c r="BU42">
        <v>0.27281548</v>
      </c>
      <c r="BV42">
        <v>0.27075849000000002</v>
      </c>
      <c r="BW42">
        <v>0.26874068000000001</v>
      </c>
      <c r="BX42">
        <v>0.26671479999999997</v>
      </c>
      <c r="BY42">
        <v>0.26489394999999999</v>
      </c>
      <c r="BZ42">
        <v>0.26313491999999999</v>
      </c>
      <c r="CA42">
        <v>0.26179080999999998</v>
      </c>
      <c r="CB42">
        <v>0.26044921999999998</v>
      </c>
      <c r="CC42">
        <v>0.25911178000000001</v>
      </c>
      <c r="CD42">
        <v>0.25770399999999999</v>
      </c>
      <c r="CE42">
        <v>0.25634234</v>
      </c>
      <c r="CF42">
        <v>0.25497501</v>
      </c>
      <c r="CG42">
        <v>0.25350676999999999</v>
      </c>
      <c r="CH42">
        <v>0.25224180000000002</v>
      </c>
      <c r="CI42">
        <v>0.25084047999999998</v>
      </c>
      <c r="CJ42">
        <v>0.24932019</v>
      </c>
      <c r="CK42">
        <v>0.24773496</v>
      </c>
      <c r="CL42">
        <v>0.24603706</v>
      </c>
      <c r="CM42">
        <v>0.24418782</v>
      </c>
      <c r="CN42">
        <v>0.24230294999999999</v>
      </c>
      <c r="CO42">
        <v>0.24045520000000001</v>
      </c>
      <c r="CP42">
        <v>0.23872552</v>
      </c>
      <c r="CQ42">
        <v>0.23719530999999999</v>
      </c>
      <c r="CR42">
        <v>0.23558256999999999</v>
      </c>
      <c r="CS42">
        <v>0.23402496</v>
      </c>
      <c r="CT42">
        <v>0.23261778</v>
      </c>
      <c r="CU42">
        <v>0.23130783999999999</v>
      </c>
      <c r="CV42">
        <v>0.22989746999999999</v>
      </c>
      <c r="CW42">
        <v>0.22854097000000001</v>
      </c>
      <c r="CX42">
        <v>0.22713896</v>
      </c>
    </row>
    <row r="43" spans="1:102">
      <c r="A43" t="s">
        <v>363</v>
      </c>
      <c r="B43">
        <v>0.48684174000000002</v>
      </c>
      <c r="C43">
        <v>0.48191258999999997</v>
      </c>
      <c r="D43">
        <v>0.48546273000000001</v>
      </c>
      <c r="E43">
        <v>0.49084939999999999</v>
      </c>
      <c r="F43">
        <v>0.48582230999999998</v>
      </c>
      <c r="G43">
        <v>0.49386797999999998</v>
      </c>
      <c r="H43">
        <v>0.48814453000000002</v>
      </c>
      <c r="I43">
        <v>0.48841175999999997</v>
      </c>
      <c r="J43">
        <v>0.49437341000000001</v>
      </c>
      <c r="K43">
        <v>0.48786232000000002</v>
      </c>
      <c r="L43">
        <v>0.48823475</v>
      </c>
      <c r="M43">
        <v>0.48407677999999998</v>
      </c>
      <c r="N43">
        <v>0.48473168</v>
      </c>
      <c r="O43">
        <v>0.47746971999999999</v>
      </c>
      <c r="P43">
        <v>0.47382204</v>
      </c>
      <c r="Q43">
        <v>0.47569423999999999</v>
      </c>
      <c r="R43">
        <v>0.46779573000000002</v>
      </c>
      <c r="S43">
        <v>0.46705584999999999</v>
      </c>
      <c r="T43">
        <v>0.45594557000000002</v>
      </c>
      <c r="U43">
        <v>0.43988304</v>
      </c>
      <c r="V43">
        <v>0.45257180000000002</v>
      </c>
      <c r="W43">
        <v>0.46584977999999999</v>
      </c>
      <c r="X43">
        <v>0.46299298999999999</v>
      </c>
      <c r="Y43">
        <v>0.45009512000000002</v>
      </c>
      <c r="Z43">
        <v>0.44707131</v>
      </c>
      <c r="AA43">
        <v>0.44602124999999998</v>
      </c>
      <c r="AB43">
        <v>0.44467255</v>
      </c>
      <c r="AC43">
        <v>0.44315528999999998</v>
      </c>
      <c r="AD43">
        <v>0.44182782999999998</v>
      </c>
      <c r="AE43">
        <v>0.44050518999999999</v>
      </c>
      <c r="AF43">
        <v>0.43928026999999997</v>
      </c>
      <c r="AG43">
        <v>0.43830174999999999</v>
      </c>
      <c r="AH43">
        <v>0.43741676000000002</v>
      </c>
      <c r="AI43">
        <v>0.43649465999999998</v>
      </c>
      <c r="AJ43">
        <v>0.43569959000000003</v>
      </c>
      <c r="AK43">
        <v>0.43497133999999998</v>
      </c>
      <c r="AL43">
        <v>0.43410537999999999</v>
      </c>
      <c r="AM43">
        <v>0.4332705</v>
      </c>
      <c r="AN43">
        <v>0.4325021</v>
      </c>
      <c r="AO43">
        <v>0.431529</v>
      </c>
      <c r="AP43">
        <v>0.43070320000000001</v>
      </c>
      <c r="AQ43">
        <v>0.43000441</v>
      </c>
      <c r="AR43">
        <v>0.42946962</v>
      </c>
      <c r="AS43">
        <v>0.42896033</v>
      </c>
      <c r="AT43">
        <v>0.42843607</v>
      </c>
      <c r="AU43">
        <v>0.42784995999999997</v>
      </c>
      <c r="AV43">
        <v>0.42710573000000002</v>
      </c>
      <c r="AW43">
        <v>0.42634631000000001</v>
      </c>
      <c r="AX43">
        <v>0.42560462999999998</v>
      </c>
      <c r="AY43">
        <v>0.42487299000000001</v>
      </c>
      <c r="AZ43">
        <v>0.42431781000000002</v>
      </c>
      <c r="BA43">
        <v>0.42340043999999999</v>
      </c>
      <c r="BB43">
        <v>0.42256452999999999</v>
      </c>
      <c r="BC43">
        <v>0.42197407999999997</v>
      </c>
      <c r="BD43">
        <v>0.42107791</v>
      </c>
      <c r="BE43">
        <v>0.42036092000000003</v>
      </c>
      <c r="BF43">
        <v>0.41938744</v>
      </c>
      <c r="BG43">
        <v>0.41856577</v>
      </c>
      <c r="BH43">
        <v>0.41762840000000001</v>
      </c>
      <c r="BI43">
        <v>0.41619252000000001</v>
      </c>
      <c r="BJ43">
        <v>0.41475286</v>
      </c>
      <c r="BK43">
        <v>0.41355491999999999</v>
      </c>
      <c r="BL43">
        <v>0.41307405000000003</v>
      </c>
      <c r="BM43">
        <v>0.41344155999999999</v>
      </c>
      <c r="BN43">
        <v>0.41353321999999998</v>
      </c>
      <c r="BO43">
        <v>0.41317372000000002</v>
      </c>
      <c r="BP43">
        <v>0.41286233999999999</v>
      </c>
      <c r="BQ43">
        <v>0.41220020000000002</v>
      </c>
      <c r="BR43">
        <v>0.41140246000000003</v>
      </c>
      <c r="BS43">
        <v>0.41064603999999999</v>
      </c>
      <c r="BT43">
        <v>0.40990929999999998</v>
      </c>
      <c r="BU43">
        <v>0.40871287000000001</v>
      </c>
      <c r="BV43">
        <v>0.40749182</v>
      </c>
      <c r="BW43">
        <v>0.40632277999999999</v>
      </c>
      <c r="BX43">
        <v>0.40494411000000002</v>
      </c>
      <c r="BY43">
        <v>0.40348434</v>
      </c>
      <c r="BZ43">
        <v>0.40183222000000002</v>
      </c>
      <c r="CA43">
        <v>0.40037845</v>
      </c>
      <c r="CB43">
        <v>0.39879766</v>
      </c>
      <c r="CC43">
        <v>0.39734019999999998</v>
      </c>
      <c r="CD43">
        <v>0.39586558999999999</v>
      </c>
      <c r="CE43">
        <v>0.39445839999999999</v>
      </c>
      <c r="CF43">
        <v>0.39319187</v>
      </c>
      <c r="CG43">
        <v>0.39165472000000001</v>
      </c>
      <c r="CH43">
        <v>0.39023770000000002</v>
      </c>
      <c r="CI43">
        <v>0.38876535000000001</v>
      </c>
      <c r="CJ43">
        <v>0.38734290999999998</v>
      </c>
      <c r="CK43">
        <v>0.38608826000000002</v>
      </c>
      <c r="CL43">
        <v>0.38471703000000002</v>
      </c>
      <c r="CM43">
        <v>0.38315825999999997</v>
      </c>
      <c r="CN43">
        <v>0.38175411999999997</v>
      </c>
      <c r="CO43">
        <v>0.38020443999999998</v>
      </c>
      <c r="CP43">
        <v>0.37847824000000002</v>
      </c>
      <c r="CQ43">
        <v>0.37697973000000001</v>
      </c>
      <c r="CR43">
        <v>0.37525441999999998</v>
      </c>
      <c r="CS43">
        <v>0.37351055999999999</v>
      </c>
      <c r="CT43">
        <v>0.37195211</v>
      </c>
      <c r="CU43">
        <v>0.37048152000000001</v>
      </c>
      <c r="CV43">
        <v>0.36893266000000002</v>
      </c>
      <c r="CW43">
        <v>0.36751319999999998</v>
      </c>
      <c r="CX43">
        <v>0.36614595</v>
      </c>
    </row>
  </sheetData>
  <phoneticPr fontId="23"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8</vt:i4>
      </vt:variant>
    </vt:vector>
  </HeadingPairs>
  <TitlesOfParts>
    <vt:vector size="8" baseType="lpstr">
      <vt:lpstr>Stocks</vt:lpstr>
      <vt:lpstr>Population</vt:lpstr>
      <vt:lpstr>Education</vt:lpstr>
      <vt:lpstr>Diet</vt:lpstr>
      <vt:lpstr>ModifiedW3Lookups</vt:lpstr>
      <vt:lpstr>Mortality fractions parameters</vt:lpstr>
      <vt:lpstr>Mortality fractions</vt:lpstr>
      <vt:lpstr>UN mortality fractions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dc:creator>
  <cp:lastModifiedBy>YE Quanliang</cp:lastModifiedBy>
  <dcterms:created xsi:type="dcterms:W3CDTF">2018-06-29T11:39:50Z</dcterms:created>
  <dcterms:modified xsi:type="dcterms:W3CDTF">2025-11-26T08:03:53Z</dcterms:modified>
</cp:coreProperties>
</file>